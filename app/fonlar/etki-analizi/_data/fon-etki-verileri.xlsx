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BE0DE09A-44AB-47AE-8F27-599182CE94F7}" xr6:coauthVersionLast="47" xr6:coauthVersionMax="47" xr10:uidLastSave="{00000000-0000-0000-0000-000000000000}"/>
  <bookViews>
    <workbookView xWindow="-13275" yWindow="150" windowWidth="12750" windowHeight="20745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4" i="4" a="1"/>
  <c r="C4" i="4" s="1"/>
  <c r="D4" i="4" s="1"/>
  <c r="C3" i="4" a="1"/>
  <c r="C3" i="4" s="1"/>
  <c r="D3" i="4" s="1"/>
  <c r="C2" i="4" a="1"/>
  <c r="C2" i="4" s="1"/>
  <c r="D2" i="4" s="1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31" i="8"/>
  <c r="B50" i="7"/>
  <c r="D49" i="7"/>
  <c r="D48" i="7"/>
  <c r="B10" i="4"/>
  <c r="D9" i="4"/>
  <c r="D8" i="4"/>
  <c r="D7" i="4"/>
  <c r="D6" i="4"/>
  <c r="D5" i="4"/>
  <c r="B22" i="3"/>
  <c r="D21" i="3"/>
  <c r="D20" i="3"/>
  <c r="D19" i="3"/>
  <c r="D18" i="3"/>
  <c r="D17" i="3"/>
  <c r="B27" i="2"/>
  <c r="D26" i="2"/>
  <c r="D25" i="2"/>
  <c r="D24" i="2"/>
  <c r="D23" i="2"/>
  <c r="D23" i="1"/>
  <c r="B24" i="1"/>
  <c r="D31" i="8" l="1"/>
  <c r="D50" i="7"/>
  <c r="D10" i="4"/>
  <c r="D22" i="3"/>
  <c r="D27" i="2"/>
  <c r="D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<sst xmlns="http://schemas.openxmlformats.org/spreadsheetml/2006/main" count="182" uniqueCount="106">
  <si>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</si>
  <si>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</si>
  <si>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</si>
  <si>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</si>
  <si>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</si>
  <si>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</si>
  <si>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</si>
  <si>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</si>
  <si>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</si>
  <si>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</si>
  <si>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</si>
  <si>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</si>
  <si>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</si>
  <si>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</si>
  <si>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</si>
  <si>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</si>
  <si>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</si>
  <si>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</si>
  <si>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</si>
  <si>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</si>
  <si>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</si>
  <si>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</si>
  <si>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</si>
  <si>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</si>
  <si>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</si>
  <si>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</si>
  <si>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</si>
  <si>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</si>
  <si>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</si>
  <si>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</si>
  <si>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</si>
  <si>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</si>
  <si>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</si>
  <si>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SKBNK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</si>
  <si>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</si>
  <si>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</si>
  <si>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</si>
  <si>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</si>
  <si>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</si>
  <si>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</si>
  <si>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</si>
  <si>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</si>
  <si>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</si>
  <si>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</si>
  <si>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</si>
  <si>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</si>
  <si>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</si>
  <si>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</si>
  <si>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</si>
  <si>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</si>
  <si>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</si>
  <si>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</si>
  <si>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</si>
  <si>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</si>
  <si>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</si>
  <si>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</si>
  <si>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</si>
  <si>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</si>
  <si>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</si>
  <si>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</si>
  <si>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</si>
  <si>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</si>
  <si>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</si>
  <si>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</si>
  <si>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</si>
  <si>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</si>
  <si>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</si>
  <si>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</si>
  <si>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</si>
  <si>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</si>
  <si>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</si>
  <si>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</si>
  <si>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</si>
  <si>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</si>
  <si>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</si>
  <si>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</si>
  <si>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</si>
  <si>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</si>
  <si>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</si>
  <si>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</si>
  <si>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</si>
  <si>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</si>
  <si>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</si>
  <si>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</si>
  <si>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</si>
  <si>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</si>
  <si>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</si>
  <si>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METEN</t>
  </si>
  <si>
    <t>T3B</t>
  </si>
  <si>
    <t>PDG</t>
  </si>
  <si>
    <t>PHN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</si>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</sst>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MTXIQ" ddeTopic="DATA">
    <ddeItems>
      <ddeItem name="IEYHO.GUNFY" advise="1">
        <values>
          <value>
            <val>0.55865921787709405</val>
          </value>
        </values>
      </ddeItem>
      <ddeItem name="ISKPL.GUNFY" advise="1">
        <values>
          <value>
            <val>10</val>
          </value>
        </values>
      </ddeItem>
      <ddeItem name="LIDER.GUNFY" advise="1">
        <values>
          <value>
            <val>-9.9813084112149504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D35" sqref="D35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32.590000000000003</v>
      </c>
      <c r="C2" s="3">
        <v>-1.1111111111111101</v>
      </c>
      <c r="D2" s="7">
        <f>B2*C2/100</f>
        <v>-0.36211111111111083</v>
      </c>
    </row>
    <row r="3" spans="1:4" x14ac:dyDescent="0.25">
      <c r="A3" s="4" t="s">
        <v>0</v>
      </c>
      <c r="B3" s="4">
        <v>11.57</v>
      </c>
      <c r="C3" s="3">
        <v>0.90763481046449501</v>
      </c>
      <c r="D3" s="7">
        <f>B3*C3/100</f>
        <v>0.10501334757074207</v>
      </c>
    </row>
    <row r="4" spans="1:4" x14ac:dyDescent="0.25">
      <c r="A4" s="4" t="s">
        <v>5</v>
      </c>
      <c r="B4" s="4">
        <v>9.02</v>
      </c>
      <c r="C4" s="3">
        <v>0.69033530571992097</v>
      </c>
      <c r="D4" s="7">
        <f t="shared" ref="D4:D23" si="0">B4*C4/100</f>
        <v>6.2268244575936868E-2</v>
      </c>
    </row>
    <row r="5" spans="1:4" x14ac:dyDescent="0.25">
      <c r="A5" s="4" t="s">
        <v>3</v>
      </c>
      <c r="B5" s="4">
        <v>5.94</v>
      </c>
      <c r="C5" s="3">
        <v>3.3783783783783701</v>
      </c>
      <c r="D5" s="7">
        <f t="shared" si="0"/>
        <v>0.20067567567567518</v>
      </c>
    </row>
    <row r="6" spans="1:4" x14ac:dyDescent="0.25">
      <c r="A6" s="4" t="s">
        <v>2</v>
      </c>
      <c r="B6" s="4">
        <v>4.0199999999999996</v>
      </c>
      <c r="C6" s="3">
        <v>0.90600226500566206</v>
      </c>
      <c r="D6" s="7">
        <f t="shared" si="0"/>
        <v>3.6421291053227611E-2</v>
      </c>
    </row>
    <row r="7" spans="1:4" x14ac:dyDescent="0.25">
      <c r="A7" s="4" t="s">
        <v>4</v>
      </c>
      <c r="B7" s="4">
        <v>3.93</v>
      </c>
      <c r="C7" s="3">
        <v>8.5</v>
      </c>
      <c r="D7" s="7">
        <f t="shared" si="0"/>
        <v>0.33405000000000001</v>
      </c>
    </row>
    <row r="8" spans="1:4" x14ac:dyDescent="0.25">
      <c r="A8" s="4" t="s">
        <v>6</v>
      </c>
      <c r="B8" s="4">
        <v>2.15</v>
      </c>
      <c r="C8" s="3">
        <v>2.29970326409495</v>
      </c>
      <c r="D8" s="7">
        <f t="shared" si="0"/>
        <v>4.9443620178041423E-2</v>
      </c>
    </row>
    <row r="9" spans="1:4" x14ac:dyDescent="0.25">
      <c r="A9" s="4" t="s">
        <v>7</v>
      </c>
      <c r="B9" s="4">
        <v>1.87</v>
      </c>
      <c r="C9" s="3">
        <v>-0.29325513196480901</v>
      </c>
      <c r="D9" s="7">
        <f t="shared" si="0"/>
        <v>-5.4838709677419283E-3</v>
      </c>
    </row>
    <row r="10" spans="1:4" x14ac:dyDescent="0.25">
      <c r="A10" s="4" t="s">
        <v>43</v>
      </c>
      <c r="B10" s="4">
        <v>1.67</v>
      </c>
      <c r="C10" s="3">
        <v>4.0084388185654003</v>
      </c>
      <c r="D10" s="7">
        <f t="shared" si="0"/>
        <v>6.694092827004218E-2</v>
      </c>
    </row>
    <row r="11" spans="1:4" x14ac:dyDescent="0.25">
      <c r="A11" s="4" t="s">
        <v>83</v>
      </c>
      <c r="B11" s="4">
        <v>1.39</v>
      </c>
      <c r="C11" s="3">
        <v>0.55865921787709405</v>
      </c>
      <c r="D11" s="7">
        <f t="shared" si="0"/>
        <v>7.7653631284916071E-3</v>
      </c>
    </row>
    <row r="12" spans="1:4" x14ac:dyDescent="0.25">
      <c r="A12" s="4" t="s">
        <v>9</v>
      </c>
      <c r="B12" s="4">
        <v>0.55000000000000004</v>
      </c>
      <c r="C12" s="3">
        <v>-10</v>
      </c>
      <c r="D12" s="7">
        <f t="shared" si="0"/>
        <v>-5.5E-2</v>
      </c>
    </row>
    <row r="13" spans="1:4" x14ac:dyDescent="0.25">
      <c r="A13" s="4" t="s">
        <v>8</v>
      </c>
      <c r="B13" s="4">
        <v>0.51</v>
      </c>
      <c r="C13" s="3">
        <v>1.2467191601049801</v>
      </c>
      <c r="D13" s="7">
        <f t="shared" si="0"/>
        <v>6.3582677165353986E-3</v>
      </c>
    </row>
    <row r="14" spans="1:4" x14ac:dyDescent="0.25">
      <c r="A14" s="4" t="s">
        <v>55</v>
      </c>
      <c r="B14" s="4">
        <v>0.39</v>
      </c>
      <c r="C14" s="3">
        <v>-1.7628205128205101</v>
      </c>
      <c r="D14" s="7">
        <f t="shared" si="0"/>
        <v>-6.8749999999999896E-3</v>
      </c>
    </row>
    <row r="15" spans="1:4" x14ac:dyDescent="0.25">
      <c r="A15" s="4" t="s">
        <v>44</v>
      </c>
      <c r="B15" s="4">
        <v>0.27</v>
      </c>
      <c r="C15" s="3">
        <v>4.1157556270096398</v>
      </c>
      <c r="D15" s="7">
        <f t="shared" si="0"/>
        <v>1.1112540192926028E-2</v>
      </c>
    </row>
    <row r="16" spans="1:4" x14ac:dyDescent="0.25">
      <c r="A16" s="4" t="s">
        <v>84</v>
      </c>
      <c r="B16" s="4">
        <v>0.12</v>
      </c>
      <c r="C16" s="3">
        <v>4.5827633378932902</v>
      </c>
      <c r="D16" s="7">
        <f t="shared" si="0"/>
        <v>5.4993160054719482E-3</v>
      </c>
    </row>
    <row r="17" spans="1:6" x14ac:dyDescent="0.25">
      <c r="A17" s="4" t="s">
        <v>27</v>
      </c>
      <c r="B17" s="4">
        <v>0.05</v>
      </c>
      <c r="C17" s="3">
        <v>0.581395348837209</v>
      </c>
      <c r="D17" s="7">
        <f t="shared" si="0"/>
        <v>2.9069767441860448E-4</v>
      </c>
    </row>
    <row r="18" spans="1:6" x14ac:dyDescent="0.25">
      <c r="A18" s="4" t="s">
        <v>85</v>
      </c>
      <c r="B18" s="4">
        <v>0.04</v>
      </c>
      <c r="C18" s="3">
        <v>-0.48899755501222397</v>
      </c>
      <c r="D18" s="7">
        <f t="shared" si="0"/>
        <v>-1.955990220048896E-4</v>
      </c>
    </row>
    <row r="19" spans="1:6" x14ac:dyDescent="0.25">
      <c r="A19" s="4" t="s">
        <v>86</v>
      </c>
      <c r="B19" s="4">
        <v>0.03</v>
      </c>
      <c r="C19" s="3">
        <v>9.9589322381930092</v>
      </c>
      <c r="D19" s="7">
        <f t="shared" si="0"/>
        <v>2.9876796714579028E-3</v>
      </c>
    </row>
    <row r="20" spans="1:6" x14ac:dyDescent="0.25">
      <c r="A20" s="4" t="s">
        <v>20</v>
      </c>
      <c r="B20" s="4">
        <v>0.03</v>
      </c>
      <c r="C20" s="3">
        <v>-0.44817927170868299</v>
      </c>
      <c r="D20" s="7">
        <f t="shared" si="0"/>
        <v>-1.3445378151260488E-4</v>
      </c>
    </row>
    <row r="21" spans="1:6" x14ac:dyDescent="0.25">
      <c r="A21" s="4" t="s">
        <v>87</v>
      </c>
      <c r="B21" s="4">
        <v>0.02</v>
      </c>
      <c r="C21" s="3">
        <v>-2.5862068965517202</v>
      </c>
      <c r="D21" s="7">
        <f t="shared" si="0"/>
        <v>-5.1724137931034408E-4</v>
      </c>
    </row>
    <row r="22" spans="1:6" x14ac:dyDescent="0.25">
      <c r="A22" s="4" t="s">
        <v>45</v>
      </c>
      <c r="B22" s="4">
        <v>5.62</v>
      </c>
      <c r="C22" s="3">
        <v>2.92</v>
      </c>
      <c r="D22" s="7">
        <f t="shared" si="0"/>
        <v>0.164104</v>
      </c>
    </row>
    <row r="23" spans="1:6" x14ac:dyDescent="0.25">
      <c r="A23" s="4" t="s">
        <v>88</v>
      </c>
      <c r="B23" s="4">
        <v>0.01</v>
      </c>
      <c r="C23" s="3">
        <v>3.56</v>
      </c>
      <c r="D23" s="7">
        <f t="shared" si="0"/>
        <v>3.5599999999999998E-4</v>
      </c>
    </row>
    <row r="24" spans="1:6" x14ac:dyDescent="0.25">
      <c r="A24" s="5" t="s">
        <v>53</v>
      </c>
      <c r="B24" s="5">
        <f>B2+B3+B4+B5+B6+B7+B8+B9+B10+B11+B12+B13+B14+B15+B16+B17+B18+B19+B20+B21</f>
        <v>76.160000000000025</v>
      </c>
      <c r="C24" s="5"/>
      <c r="D24" s="6">
        <f>D2+D3+D4+D5+D6+D7+D8+D9+D10+D11+D12+D13+D14+D15+D16+D17+D18+D19+D20+D21</f>
        <v>0.45850969545128628</v>
      </c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31"/>
      <c r="B29" s="31"/>
      <c r="C29" s="4"/>
      <c r="D29" s="4"/>
      <c r="E29" s="17"/>
    </row>
    <row r="30" spans="1:6" x14ac:dyDescent="0.25">
      <c r="A30" s="31"/>
      <c r="B30" s="31"/>
      <c r="C30" s="9"/>
      <c r="D30" s="19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18"/>
      <c r="B32" s="31"/>
      <c r="C32" s="31"/>
      <c r="D32" s="25"/>
      <c r="E32" s="21"/>
      <c r="F32" s="24"/>
    </row>
    <row r="33" spans="1:6" x14ac:dyDescent="0.25">
      <c r="A33" s="18"/>
      <c r="B33" s="31"/>
      <c r="C33" s="31"/>
      <c r="D33" s="25"/>
      <c r="E33" s="22"/>
      <c r="F33" s="24"/>
    </row>
    <row r="34" spans="1:6" x14ac:dyDescent="0.25">
      <c r="A34" s="18"/>
      <c r="B34" s="31"/>
      <c r="C34" s="31"/>
      <c r="D34" s="25"/>
      <c r="E34" s="22"/>
      <c r="F34" s="24"/>
    </row>
    <row r="35" spans="1:6" x14ac:dyDescent="0.25">
      <c r="A35" s="18"/>
      <c r="B35" s="31"/>
      <c r="C35" s="31"/>
      <c r="D35" s="25"/>
      <c r="E35" s="22"/>
      <c r="F35" s="24"/>
    </row>
    <row r="36" spans="1:6" x14ac:dyDescent="0.25">
      <c r="A36" s="18"/>
      <c r="B36" s="31"/>
      <c r="C36" s="31"/>
      <c r="D36" s="25"/>
      <c r="E36" s="22"/>
      <c r="F36" s="24"/>
    </row>
    <row r="37" spans="1:6" x14ac:dyDescent="0.25">
      <c r="A37" s="18"/>
      <c r="B37" s="31"/>
      <c r="C37" s="31"/>
      <c r="D37" s="25"/>
      <c r="E37" s="22"/>
      <c r="F37" s="24"/>
    </row>
    <row r="38" spans="1:6" x14ac:dyDescent="0.25">
      <c r="A38" s="18"/>
      <c r="B38" s="31"/>
      <c r="C38" s="31"/>
      <c r="D38" s="25"/>
      <c r="E38" s="22"/>
      <c r="F38" s="24"/>
    </row>
    <row r="39" spans="1:6" x14ac:dyDescent="0.25">
      <c r="A39" s="18"/>
      <c r="B39" s="31"/>
      <c r="C39" s="31"/>
      <c r="D39" s="25"/>
      <c r="E39" s="22"/>
      <c r="F39" s="24"/>
    </row>
    <row r="40" spans="1:6" x14ac:dyDescent="0.25">
      <c r="A40" s="18"/>
      <c r="B40" s="31"/>
      <c r="C40" s="31"/>
      <c r="D40" s="25"/>
      <c r="E40" s="22"/>
      <c r="F40" s="24"/>
    </row>
    <row r="41" spans="1:6" x14ac:dyDescent="0.25">
      <c r="A41" s="18"/>
      <c r="B41" s="31"/>
      <c r="C41" s="31"/>
      <c r="D41" s="25"/>
      <c r="E41" s="22"/>
      <c r="F41" s="24"/>
    </row>
    <row r="42" spans="1:6" x14ac:dyDescent="0.25">
      <c r="A42" s="18"/>
      <c r="B42" s="31"/>
      <c r="C42" s="31"/>
      <c r="D42" s="25"/>
      <c r="E42" s="22"/>
      <c r="F42" s="24"/>
    </row>
    <row r="43" spans="1:6" x14ac:dyDescent="0.25">
      <c r="A43" s="18"/>
      <c r="B43" s="31"/>
      <c r="C43" s="31"/>
      <c r="D43" s="25"/>
      <c r="E43" s="22"/>
      <c r="F43" s="24"/>
    </row>
    <row r="44" spans="1:6" x14ac:dyDescent="0.25">
      <c r="A44" s="18"/>
      <c r="B44" s="31"/>
      <c r="C44" s="31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15.5</v>
      </c>
      <c r="C2" s="27">
        <v>-3.62537764350453</v>
      </c>
      <c r="D2" s="4">
        <f>B2*C2/100</f>
        <v>-0.56193353474320207</v>
      </c>
    </row>
    <row r="3" spans="1:4" x14ac:dyDescent="0.25">
      <c r="A3" s="4" t="s">
        <v>15</v>
      </c>
      <c r="B3" s="4">
        <v>11.91</v>
      </c>
      <c r="C3" s="27">
        <v>9.3088857545839208</v>
      </c>
      <c r="D3" s="4">
        <f t="shared" ref="D3:D26" si="0">B3*C3/100</f>
        <v>1.108688293370945</v>
      </c>
    </row>
    <row r="4" spans="1:4" x14ac:dyDescent="0.25">
      <c r="A4" s="4" t="s">
        <v>12</v>
      </c>
      <c r="B4" s="4">
        <v>10.17</v>
      </c>
      <c r="C4" s="27">
        <v>-9.9893162393162296</v>
      </c>
      <c r="D4" s="4">
        <f t="shared" si="0"/>
        <v>-1.0159134615384606</v>
      </c>
    </row>
    <row r="5" spans="1:4" x14ac:dyDescent="0.25">
      <c r="A5" s="4" t="s">
        <v>13</v>
      </c>
      <c r="B5" s="4">
        <v>9.48</v>
      </c>
      <c r="C5" s="27">
        <v>-0.38095238095237999</v>
      </c>
      <c r="D5" s="4">
        <f t="shared" si="0"/>
        <v>-3.6114285714285627E-2</v>
      </c>
    </row>
    <row r="6" spans="1:4" x14ac:dyDescent="0.25">
      <c r="A6" s="4" t="s">
        <v>9</v>
      </c>
      <c r="B6" s="4">
        <v>8</v>
      </c>
      <c r="C6" s="27">
        <v>-10</v>
      </c>
      <c r="D6" s="4">
        <f t="shared" si="0"/>
        <v>-0.8</v>
      </c>
    </row>
    <row r="7" spans="1:4" x14ac:dyDescent="0.25">
      <c r="A7" s="4" t="s">
        <v>0</v>
      </c>
      <c r="B7" s="4">
        <v>5.28</v>
      </c>
      <c r="C7" s="27">
        <v>0.90763481046449501</v>
      </c>
      <c r="D7" s="4">
        <f t="shared" si="0"/>
        <v>4.7923117992525341E-2</v>
      </c>
    </row>
    <row r="8" spans="1:4" x14ac:dyDescent="0.25">
      <c r="A8" s="4" t="s">
        <v>29</v>
      </c>
      <c r="B8" s="4">
        <v>5.08</v>
      </c>
      <c r="C8" s="27">
        <v>1.8226002430133601</v>
      </c>
      <c r="D8" s="4">
        <f t="shared" si="0"/>
        <v>9.2588092345078699E-2</v>
      </c>
    </row>
    <row r="9" spans="1:4" x14ac:dyDescent="0.25">
      <c r="A9" s="4" t="s">
        <v>47</v>
      </c>
      <c r="B9" s="4">
        <v>2.82</v>
      </c>
      <c r="C9" s="27">
        <v>-1.9819819819819799</v>
      </c>
      <c r="D9" s="4">
        <f t="shared" si="0"/>
        <v>-5.589189189189183E-2</v>
      </c>
    </row>
    <row r="10" spans="1:4" x14ac:dyDescent="0.25">
      <c r="A10" s="4" t="s">
        <v>6</v>
      </c>
      <c r="B10" s="4">
        <v>2.75</v>
      </c>
      <c r="C10" s="27">
        <v>2.29970326409495</v>
      </c>
      <c r="D10" s="4">
        <f t="shared" si="0"/>
        <v>6.3241839762611121E-2</v>
      </c>
    </row>
    <row r="11" spans="1:4" x14ac:dyDescent="0.25">
      <c r="A11" s="4" t="s">
        <v>17</v>
      </c>
      <c r="B11" s="4">
        <v>1.89</v>
      </c>
      <c r="C11" s="27">
        <v>2.2754491017963998</v>
      </c>
      <c r="D11" s="4">
        <f t="shared" si="0"/>
        <v>4.3005988023951953E-2</v>
      </c>
    </row>
    <row r="12" spans="1:4" x14ac:dyDescent="0.25">
      <c r="A12" s="4" t="s">
        <v>32</v>
      </c>
      <c r="B12" s="4">
        <v>1.1100000000000001</v>
      </c>
      <c r="C12" s="27">
        <v>-1.3535031847133701</v>
      </c>
      <c r="D12" s="4">
        <f t="shared" si="0"/>
        <v>-1.5023885350318409E-2</v>
      </c>
    </row>
    <row r="13" spans="1:4" x14ac:dyDescent="0.25">
      <c r="A13" s="4" t="s">
        <v>86</v>
      </c>
      <c r="B13" s="4">
        <v>1.07</v>
      </c>
      <c r="C13" s="27">
        <v>9.9589322381930092</v>
      </c>
      <c r="D13" s="4">
        <f t="shared" si="0"/>
        <v>0.10656057494866519</v>
      </c>
    </row>
    <row r="14" spans="1:4" x14ac:dyDescent="0.25">
      <c r="A14" s="4" t="s">
        <v>3</v>
      </c>
      <c r="B14" s="4">
        <v>1.01</v>
      </c>
      <c r="C14" s="27">
        <v>3.3783783783783701</v>
      </c>
      <c r="D14" s="4">
        <f t="shared" si="0"/>
        <v>3.4121621621621537E-2</v>
      </c>
    </row>
    <row r="15" spans="1:4" x14ac:dyDescent="0.25">
      <c r="A15" s="4" t="s">
        <v>7</v>
      </c>
      <c r="B15" s="4">
        <v>0.66</v>
      </c>
      <c r="C15" s="27">
        <v>-0.29325513196480901</v>
      </c>
      <c r="D15" s="4">
        <f t="shared" si="0"/>
        <v>-1.9354838709677398E-3</v>
      </c>
    </row>
    <row r="16" spans="1:4" x14ac:dyDescent="0.25">
      <c r="A16" s="4" t="s">
        <v>27</v>
      </c>
      <c r="B16" s="4">
        <v>0.53</v>
      </c>
      <c r="C16" s="27">
        <v>0.581395348837209</v>
      </c>
      <c r="D16" s="4">
        <f t="shared" si="0"/>
        <v>3.081395348837208E-3</v>
      </c>
    </row>
    <row r="17" spans="1:4" x14ac:dyDescent="0.25">
      <c r="A17" s="4" t="s">
        <v>49</v>
      </c>
      <c r="B17" s="4">
        <v>0.38</v>
      </c>
      <c r="C17" s="27">
        <v>-0.11574074074074001</v>
      </c>
      <c r="D17" s="4">
        <f t="shared" si="0"/>
        <v>-4.3981481481481205E-4</v>
      </c>
    </row>
    <row r="18" spans="1:4" x14ac:dyDescent="0.25">
      <c r="A18" s="4" t="s">
        <v>30</v>
      </c>
      <c r="B18" s="4">
        <v>0.13</v>
      </c>
      <c r="C18" s="27">
        <v>-2.19780219780219</v>
      </c>
      <c r="D18" s="4">
        <f t="shared" si="0"/>
        <v>-2.8571428571428472E-3</v>
      </c>
    </row>
    <row r="19" spans="1:4" x14ac:dyDescent="0.25">
      <c r="A19" s="4" t="s">
        <v>4</v>
      </c>
      <c r="B19" s="4">
        <v>0.13</v>
      </c>
      <c r="C19" s="27">
        <v>8.5</v>
      </c>
      <c r="D19" s="4">
        <f t="shared" si="0"/>
        <v>1.1049999999999999E-2</v>
      </c>
    </row>
    <row r="20" spans="1:4" x14ac:dyDescent="0.25">
      <c r="A20" s="4" t="s">
        <v>72</v>
      </c>
      <c r="B20" s="4">
        <v>7.0000000000000007E-2</v>
      </c>
      <c r="C20" s="27">
        <v>-1.42630744849445</v>
      </c>
      <c r="D20" s="4">
        <f t="shared" si="0"/>
        <v>-9.9841521394611506E-4</v>
      </c>
    </row>
    <row r="21" spans="1:4" x14ac:dyDescent="0.25">
      <c r="A21" s="4" t="s">
        <v>18</v>
      </c>
      <c r="B21" s="4">
        <v>0.04</v>
      </c>
      <c r="C21" s="27">
        <v>0.83857442348008304</v>
      </c>
      <c r="D21" s="4">
        <f t="shared" si="0"/>
        <v>3.354297693920332E-4</v>
      </c>
    </row>
    <row r="22" spans="1:4" x14ac:dyDescent="0.25">
      <c r="A22" s="4" t="s">
        <v>51</v>
      </c>
      <c r="B22" s="4">
        <v>0.04</v>
      </c>
      <c r="C22" s="27">
        <v>-7.2411296162201294E-2</v>
      </c>
      <c r="D22" s="4">
        <f t="shared" si="0"/>
        <v>-2.8964518464880521E-5</v>
      </c>
    </row>
    <row r="23" spans="1:4" x14ac:dyDescent="0.25">
      <c r="A23" s="4" t="s">
        <v>35</v>
      </c>
      <c r="B23" s="4">
        <v>9.73</v>
      </c>
      <c r="C23" s="27">
        <v>7.61</v>
      </c>
      <c r="D23" s="4">
        <f t="shared" si="0"/>
        <v>0.74045300000000014</v>
      </c>
    </row>
    <row r="24" spans="1:4" x14ac:dyDescent="0.25">
      <c r="A24" s="4" t="s">
        <v>36</v>
      </c>
      <c r="B24" s="4">
        <v>9.19</v>
      </c>
      <c r="C24" s="27">
        <v>5.51</v>
      </c>
      <c r="D24" s="4">
        <f t="shared" si="0"/>
        <v>0.50636899999999996</v>
      </c>
    </row>
    <row r="25" spans="1:4" x14ac:dyDescent="0.25">
      <c r="A25" s="4" t="s">
        <v>48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89</v>
      </c>
      <c r="B26" s="4">
        <v>0.02</v>
      </c>
      <c r="C26" s="3">
        <v>-5.81</v>
      </c>
      <c r="D26" s="4">
        <f t="shared" si="0"/>
        <v>-1.1620000000000001E-3</v>
      </c>
    </row>
    <row r="27" spans="1:4" x14ac:dyDescent="0.25">
      <c r="A27" s="12" t="s">
        <v>53</v>
      </c>
      <c r="B27" s="5">
        <f>SUM(B2:B26)</f>
        <v>98.649999999999977</v>
      </c>
      <c r="D27" s="6">
        <f>SUM(D2:D26)</f>
        <v>0.26727747267013302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5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31"/>
      <c r="B49" s="31"/>
      <c r="C49" s="4"/>
      <c r="D49" s="4"/>
      <c r="E49" s="17"/>
    </row>
    <row r="50" spans="1:6" x14ac:dyDescent="0.25">
      <c r="A50" s="31"/>
      <c r="B50" s="31"/>
      <c r="C50" s="9"/>
      <c r="D50" s="9"/>
    </row>
    <row r="55" spans="1:6" x14ac:dyDescent="0.25">
      <c r="A55" s="5"/>
      <c r="B55" s="32"/>
      <c r="C55" s="32"/>
      <c r="D55" s="20"/>
      <c r="E55" s="5"/>
      <c r="F55" s="5"/>
    </row>
    <row r="56" spans="1:6" x14ac:dyDescent="0.25">
      <c r="A56" s="18"/>
      <c r="B56" s="31"/>
      <c r="C56" s="31"/>
      <c r="D56" s="21"/>
      <c r="E56" s="21"/>
      <c r="F56" s="24"/>
    </row>
    <row r="57" spans="1:6" x14ac:dyDescent="0.25">
      <c r="A57" s="18"/>
      <c r="B57" s="31"/>
      <c r="C57" s="31"/>
      <c r="D57" s="21"/>
      <c r="E57" s="21"/>
      <c r="F57" s="24"/>
    </row>
    <row r="58" spans="1:6" x14ac:dyDescent="0.25">
      <c r="A58" s="18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1"/>
      <c r="F67" s="24"/>
    </row>
    <row r="68" spans="1:6" x14ac:dyDescent="0.25">
      <c r="A68" s="18"/>
      <c r="B68" s="31"/>
      <c r="C68" s="31"/>
      <c r="D68" s="21"/>
      <c r="E68" s="21"/>
      <c r="F68" s="24"/>
    </row>
    <row r="69" spans="1:6" x14ac:dyDescent="0.25">
      <c r="A69" s="18"/>
      <c r="B69" s="31"/>
      <c r="C69" s="31"/>
      <c r="D69" s="19"/>
      <c r="E69" s="22"/>
      <c r="F69" s="24"/>
    </row>
    <row r="70" spans="1:6" x14ac:dyDescent="0.25">
      <c r="A70" s="18"/>
      <c r="B70" s="31"/>
      <c r="C70" s="31"/>
      <c r="D70" s="19"/>
      <c r="E70" s="22"/>
      <c r="F70" s="24"/>
    </row>
    <row r="71" spans="1:6" x14ac:dyDescent="0.25">
      <c r="A71" s="18"/>
      <c r="B71" s="31"/>
      <c r="C71" s="31"/>
      <c r="D71" s="19"/>
      <c r="E71" s="22"/>
      <c r="F71" s="24"/>
    </row>
    <row r="72" spans="1:6" x14ac:dyDescent="0.25">
      <c r="A72" s="18"/>
      <c r="B72" s="31"/>
      <c r="C72" s="31"/>
      <c r="D72" s="19"/>
      <c r="E72" s="22"/>
      <c r="F72" s="24"/>
    </row>
    <row r="73" spans="1:6" x14ac:dyDescent="0.25">
      <c r="A73" s="18"/>
      <c r="B73" s="31"/>
      <c r="C73" s="31"/>
      <c r="D73" s="19"/>
      <c r="E73" s="22"/>
      <c r="F73" s="24"/>
    </row>
    <row r="74" spans="1:6" x14ac:dyDescent="0.25">
      <c r="A74" s="18"/>
      <c r="B74" s="31"/>
      <c r="C74" s="31"/>
      <c r="D74" s="19"/>
      <c r="E74" s="22"/>
      <c r="F74" s="24"/>
    </row>
    <row r="75" spans="1:6" x14ac:dyDescent="0.25">
      <c r="A75" s="18"/>
      <c r="B75" s="31"/>
      <c r="C75" s="31"/>
      <c r="D75" s="19"/>
      <c r="E75" s="22"/>
      <c r="F75" s="24"/>
    </row>
    <row r="76" spans="1:6" x14ac:dyDescent="0.25">
      <c r="A76" s="18"/>
      <c r="B76" s="31"/>
      <c r="C76" s="31"/>
      <c r="D76" s="19"/>
      <c r="E76" s="22"/>
      <c r="F76" s="24"/>
    </row>
    <row r="77" spans="1:6" x14ac:dyDescent="0.25">
      <c r="A77" s="18"/>
      <c r="B77" s="31"/>
      <c r="C77" s="31"/>
      <c r="D77" s="19"/>
      <c r="E77" s="22"/>
      <c r="F77" s="24"/>
    </row>
    <row r="78" spans="1:6" x14ac:dyDescent="0.25">
      <c r="A78" s="18"/>
      <c r="B78" s="31"/>
      <c r="C78" s="31"/>
      <c r="D78" s="19"/>
      <c r="E78" s="22"/>
      <c r="F78" s="24"/>
    </row>
    <row r="79" spans="1:6" x14ac:dyDescent="0.25">
      <c r="A79" s="18"/>
      <c r="B79" s="31"/>
      <c r="C79" s="31"/>
      <c r="D79" s="19"/>
      <c r="E79" s="22"/>
      <c r="F79" s="24"/>
    </row>
    <row r="80" spans="1:6" x14ac:dyDescent="0.25">
      <c r="A80" s="18"/>
      <c r="B80" s="31"/>
      <c r="C80" s="31"/>
      <c r="D80" s="19"/>
      <c r="E80" s="22"/>
      <c r="F80" s="24"/>
    </row>
    <row r="81" spans="1:6" x14ac:dyDescent="0.25">
      <c r="A81" s="18"/>
      <c r="B81" s="31"/>
      <c r="C81" s="31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2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9</v>
      </c>
      <c r="B2" s="4">
        <v>15.85</v>
      </c>
      <c r="C2" s="3">
        <v>-10</v>
      </c>
      <c r="D2" s="29">
        <f>B2*C2/100</f>
        <v>-1.585</v>
      </c>
    </row>
    <row r="3" spans="1:4" x14ac:dyDescent="0.25">
      <c r="A3" s="4" t="s">
        <v>14</v>
      </c>
      <c r="B3" s="4">
        <v>14.37</v>
      </c>
      <c r="C3" s="3">
        <v>-3.62537764350453</v>
      </c>
      <c r="D3" s="29">
        <f t="shared" ref="D3:D21" si="0">B3*C3/100</f>
        <v>-0.52096676737160097</v>
      </c>
    </row>
    <row r="4" spans="1:4" x14ac:dyDescent="0.25">
      <c r="A4" s="4" t="s">
        <v>12</v>
      </c>
      <c r="B4" s="4">
        <v>9.9499999999999993</v>
      </c>
      <c r="C4" s="3">
        <v>-9.9893162393162296</v>
      </c>
      <c r="D4" s="29">
        <f t="shared" si="0"/>
        <v>-0.99393696581196478</v>
      </c>
    </row>
    <row r="5" spans="1:4" x14ac:dyDescent="0.25">
      <c r="A5" s="4" t="s">
        <v>13</v>
      </c>
      <c r="B5" s="4">
        <v>9.31</v>
      </c>
      <c r="C5" s="3">
        <v>-0.38095238095237999</v>
      </c>
      <c r="D5" s="29">
        <f t="shared" si="0"/>
        <v>-3.5466666666666577E-2</v>
      </c>
    </row>
    <row r="6" spans="1:4" x14ac:dyDescent="0.25">
      <c r="A6" s="4" t="s">
        <v>15</v>
      </c>
      <c r="B6" s="4">
        <v>7.94</v>
      </c>
      <c r="C6" s="3">
        <v>9.3088857545839208</v>
      </c>
      <c r="D6" s="29">
        <f t="shared" si="0"/>
        <v>0.73912552891396333</v>
      </c>
    </row>
    <row r="7" spans="1:4" x14ac:dyDescent="0.25">
      <c r="A7" s="4" t="s">
        <v>0</v>
      </c>
      <c r="B7" s="4">
        <v>3.39</v>
      </c>
      <c r="C7" s="3">
        <v>0.90763481046449501</v>
      </c>
      <c r="D7" s="29">
        <f t="shared" si="0"/>
        <v>3.0768820074746382E-2</v>
      </c>
    </row>
    <row r="8" spans="1:4" x14ac:dyDescent="0.25">
      <c r="A8" s="4" t="s">
        <v>47</v>
      </c>
      <c r="B8" s="4">
        <v>5.47</v>
      </c>
      <c r="C8" s="3">
        <v>-1.9819819819819799</v>
      </c>
      <c r="D8" s="29">
        <f t="shared" si="0"/>
        <v>-0.10841441441441431</v>
      </c>
    </row>
    <row r="9" spans="1:4" x14ac:dyDescent="0.25">
      <c r="A9" s="4" t="s">
        <v>6</v>
      </c>
      <c r="B9" s="4">
        <v>5.29</v>
      </c>
      <c r="C9" s="3">
        <v>2.29970326409495</v>
      </c>
      <c r="D9" s="29">
        <f t="shared" si="0"/>
        <v>0.12165430267062285</v>
      </c>
    </row>
    <row r="10" spans="1:4" x14ac:dyDescent="0.25">
      <c r="A10" s="4" t="s">
        <v>29</v>
      </c>
      <c r="B10" s="4">
        <v>3.04</v>
      </c>
      <c r="C10" s="3">
        <v>1.8226002430133601</v>
      </c>
      <c r="D10" s="29">
        <f t="shared" si="0"/>
        <v>5.540704738760615E-2</v>
      </c>
    </row>
    <row r="11" spans="1:4" x14ac:dyDescent="0.25">
      <c r="A11" s="4" t="s">
        <v>86</v>
      </c>
      <c r="B11" s="4">
        <v>2.08</v>
      </c>
      <c r="C11" s="3">
        <v>9.9589322381930092</v>
      </c>
      <c r="D11" s="29">
        <f t="shared" si="0"/>
        <v>0.20714579055441459</v>
      </c>
    </row>
    <row r="12" spans="1:4" x14ac:dyDescent="0.25">
      <c r="A12" s="4" t="s">
        <v>32</v>
      </c>
      <c r="B12" s="4">
        <v>1.81</v>
      </c>
      <c r="C12" s="3">
        <v>-1.3535031847133701</v>
      </c>
      <c r="D12" s="29">
        <f t="shared" si="0"/>
        <v>-2.4498407643311997E-2</v>
      </c>
    </row>
    <row r="13" spans="1:4" x14ac:dyDescent="0.25">
      <c r="A13" s="4" t="s">
        <v>17</v>
      </c>
      <c r="B13" s="4">
        <v>1.39</v>
      </c>
      <c r="C13" s="3">
        <v>2.2754491017963998</v>
      </c>
      <c r="D13" s="29">
        <f t="shared" si="0"/>
        <v>3.1628742514969957E-2</v>
      </c>
    </row>
    <row r="14" spans="1:4" x14ac:dyDescent="0.25">
      <c r="A14" s="4" t="s">
        <v>27</v>
      </c>
      <c r="B14" s="4">
        <v>0.56999999999999995</v>
      </c>
      <c r="C14" s="3">
        <v>0.581395348837209</v>
      </c>
      <c r="D14" s="29">
        <f t="shared" si="0"/>
        <v>3.3139534883720912E-3</v>
      </c>
    </row>
    <row r="15" spans="1:4" x14ac:dyDescent="0.25">
      <c r="A15" s="4" t="s">
        <v>33</v>
      </c>
      <c r="B15" s="4">
        <v>0.14000000000000001</v>
      </c>
      <c r="C15" s="3">
        <v>-0.49504950495049499</v>
      </c>
      <c r="D15" s="29">
        <f t="shared" si="0"/>
        <v>-6.9306930693069303E-4</v>
      </c>
    </row>
    <row r="16" spans="1:4" x14ac:dyDescent="0.25">
      <c r="A16" s="4" t="s">
        <v>84</v>
      </c>
      <c r="B16" s="4">
        <v>0.11</v>
      </c>
      <c r="C16" s="3">
        <v>4.5827633378932902</v>
      </c>
      <c r="D16" s="29">
        <f t="shared" si="0"/>
        <v>5.041039671682619E-3</v>
      </c>
    </row>
    <row r="17" spans="1:4" x14ac:dyDescent="0.25">
      <c r="A17" s="4" t="s">
        <v>36</v>
      </c>
      <c r="B17" s="4">
        <v>8.98</v>
      </c>
      <c r="C17" s="3">
        <v>5.51</v>
      </c>
      <c r="D17" s="29">
        <f t="shared" si="0"/>
        <v>0.49479799999999996</v>
      </c>
    </row>
    <row r="18" spans="1:4" x14ac:dyDescent="0.25">
      <c r="A18" s="4" t="s">
        <v>35</v>
      </c>
      <c r="B18" s="4">
        <v>8.66</v>
      </c>
      <c r="C18" s="3">
        <v>7.61</v>
      </c>
      <c r="D18" s="29">
        <f t="shared" si="0"/>
        <v>0.65902600000000011</v>
      </c>
    </row>
    <row r="19" spans="1:4" x14ac:dyDescent="0.25">
      <c r="A19" s="4" t="s">
        <v>90</v>
      </c>
      <c r="B19" s="4">
        <v>0.69</v>
      </c>
      <c r="C19" s="3">
        <v>7.59</v>
      </c>
      <c r="D19" s="29">
        <f t="shared" si="0"/>
        <v>5.2371000000000001E-2</v>
      </c>
    </row>
    <row r="20" spans="1:4" x14ac:dyDescent="0.25">
      <c r="A20" s="4" t="s">
        <v>54</v>
      </c>
      <c r="B20" s="4">
        <v>0.09</v>
      </c>
      <c r="C20" s="3">
        <v>0.62</v>
      </c>
      <c r="D20" s="29">
        <f t="shared" si="0"/>
        <v>5.579999999999999E-4</v>
      </c>
    </row>
    <row r="21" spans="1:4" x14ac:dyDescent="0.25">
      <c r="A21" s="4" t="s">
        <v>48</v>
      </c>
      <c r="B21" s="4">
        <v>0.01</v>
      </c>
      <c r="C21" s="3">
        <v>0.13</v>
      </c>
      <c r="D21" s="29">
        <f t="shared" si="0"/>
        <v>1.3000000000000001E-5</v>
      </c>
    </row>
    <row r="22" spans="1:4" x14ac:dyDescent="0.25">
      <c r="A22" s="12" t="s">
        <v>53</v>
      </c>
      <c r="B22" s="5">
        <f>SUM(B2:B21)</f>
        <v>99.140000000000015</v>
      </c>
      <c r="D22" s="6">
        <f>SUM(D2:D21)</f>
        <v>-0.86812506593851124</v>
      </c>
    </row>
    <row r="23" spans="1:4" x14ac:dyDescent="0.25">
      <c r="A23" s="4"/>
      <c r="B23" s="4"/>
      <c r="C23" s="8"/>
      <c r="D23" s="4"/>
    </row>
    <row r="24" spans="1:4" x14ac:dyDescent="0.25">
      <c r="A24" s="4"/>
      <c r="B24" s="4"/>
      <c r="C24" s="8"/>
      <c r="D24" s="4"/>
    </row>
    <row r="25" spans="1:4" x14ac:dyDescent="0.25">
      <c r="A25" s="4"/>
      <c r="B25" s="4"/>
      <c r="C25" s="8"/>
      <c r="D25" s="4"/>
    </row>
    <row r="26" spans="1:4" x14ac:dyDescent="0.25">
      <c r="A26" s="4"/>
      <c r="B26" s="4"/>
      <c r="C26" s="8"/>
      <c r="D26" s="4"/>
    </row>
    <row r="27" spans="1:4" x14ac:dyDescent="0.25">
      <c r="A27" s="4"/>
      <c r="B27" s="4"/>
      <c r="C27" s="8"/>
      <c r="D27" s="4"/>
    </row>
    <row r="28" spans="1:4" x14ac:dyDescent="0.25">
      <c r="A28" s="4"/>
      <c r="B28" s="4"/>
      <c r="C28" s="8"/>
      <c r="D28" s="4"/>
    </row>
    <row r="29" spans="1:4" x14ac:dyDescent="0.25">
      <c r="A29" s="4"/>
      <c r="B29" s="13"/>
      <c r="C29" s="15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4"/>
      <c r="D31" s="4"/>
    </row>
    <row r="32" spans="1:4" x14ac:dyDescent="0.25">
      <c r="A32" s="4"/>
      <c r="B32" s="4"/>
      <c r="C32" s="4"/>
      <c r="D32" s="4"/>
    </row>
    <row r="33" spans="1:5" x14ac:dyDescent="0.25">
      <c r="A33" s="4"/>
      <c r="B33" s="4"/>
      <c r="C33" s="4"/>
      <c r="D33" s="4"/>
    </row>
    <row r="34" spans="1:5" x14ac:dyDescent="0.25">
      <c r="A34" s="4"/>
      <c r="B34" s="4"/>
      <c r="C34" s="4"/>
      <c r="D34" s="4"/>
    </row>
    <row r="35" spans="1:5" x14ac:dyDescent="0.25">
      <c r="A35" s="4"/>
      <c r="B35" s="4"/>
      <c r="C35" s="4"/>
      <c r="D35" s="4"/>
    </row>
    <row r="36" spans="1:5" x14ac:dyDescent="0.25">
      <c r="A36" s="4"/>
      <c r="B36" s="4"/>
      <c r="C36" s="4"/>
      <c r="D36" s="4"/>
    </row>
    <row r="37" spans="1:5" x14ac:dyDescent="0.25">
      <c r="A37" s="12"/>
      <c r="B37" s="5"/>
      <c r="D37" s="6"/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31"/>
      <c r="B44" s="31"/>
      <c r="C44" s="4"/>
      <c r="D44" s="4"/>
      <c r="E44" s="17"/>
    </row>
    <row r="45" spans="1:5" x14ac:dyDescent="0.25">
      <c r="A45" s="31"/>
      <c r="B45" s="31"/>
      <c r="C45" s="9"/>
      <c r="D45" s="9"/>
    </row>
    <row r="53" spans="1:6" x14ac:dyDescent="0.25">
      <c r="A53" s="5"/>
      <c r="B53" s="32"/>
      <c r="C53" s="32"/>
      <c r="D53" s="20"/>
      <c r="E53" s="5"/>
      <c r="F53" s="5"/>
    </row>
    <row r="54" spans="1:6" x14ac:dyDescent="0.25">
      <c r="A54" s="18"/>
      <c r="B54" s="31"/>
      <c r="C54" s="31"/>
      <c r="D54" s="21"/>
      <c r="E54" s="22"/>
      <c r="F54" s="24"/>
    </row>
    <row r="55" spans="1:6" x14ac:dyDescent="0.25">
      <c r="A55" s="18"/>
      <c r="B55" s="31"/>
      <c r="C55" s="31"/>
      <c r="D55" s="21"/>
      <c r="E55" s="22"/>
      <c r="F55" s="24"/>
    </row>
    <row r="56" spans="1:6" x14ac:dyDescent="0.25">
      <c r="A56" s="18"/>
      <c r="B56" s="31"/>
      <c r="C56" s="31"/>
      <c r="D56" s="21"/>
      <c r="E56" s="22"/>
      <c r="F56" s="24"/>
    </row>
    <row r="57" spans="1:6" x14ac:dyDescent="0.25">
      <c r="A57" s="18"/>
      <c r="B57" s="31"/>
      <c r="C57" s="31"/>
      <c r="D57" s="21"/>
      <c r="E57" s="22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2"/>
      <c r="F67" s="24"/>
    </row>
    <row r="68" spans="1:6" x14ac:dyDescent="0.25">
      <c r="A68" s="18"/>
      <c r="B68" s="31"/>
      <c r="C68" s="31"/>
      <c r="D68" s="21"/>
      <c r="E68" s="22"/>
      <c r="F68" s="24"/>
    </row>
    <row r="69" spans="1:6" x14ac:dyDescent="0.25">
      <c r="A69" s="18"/>
      <c r="B69" s="31"/>
      <c r="C69" s="31"/>
      <c r="D69" s="21"/>
      <c r="E69" s="22"/>
      <c r="F69" s="24"/>
    </row>
    <row r="70" spans="1:6" x14ac:dyDescent="0.25">
      <c r="A70" s="18"/>
      <c r="B70" s="31"/>
      <c r="C70" s="31"/>
      <c r="D70" s="21"/>
      <c r="E70" s="22"/>
      <c r="F70" s="24"/>
    </row>
    <row r="71" spans="1:6" x14ac:dyDescent="0.25">
      <c r="A71" s="18"/>
      <c r="B71" s="31"/>
      <c r="C71" s="31"/>
      <c r="D71" s="21"/>
      <c r="E71" s="22"/>
      <c r="F71" s="24"/>
    </row>
    <row r="72" spans="1:6" x14ac:dyDescent="0.25">
      <c r="A72" s="18"/>
      <c r="B72" s="31"/>
      <c r="C72" s="31"/>
      <c r="D72" s="21"/>
      <c r="E72" s="22"/>
      <c r="F72" s="24"/>
    </row>
    <row r="73" spans="1:6" x14ac:dyDescent="0.25">
      <c r="A73" s="18"/>
      <c r="B73" s="31"/>
      <c r="C73" s="31"/>
      <c r="D73" s="21"/>
      <c r="E73" s="22"/>
      <c r="F73" s="24"/>
    </row>
    <row r="74" spans="1:6" x14ac:dyDescent="0.25">
      <c r="A74" s="18"/>
      <c r="B74" s="31"/>
      <c r="C74" s="31"/>
      <c r="D74" s="21"/>
      <c r="E74" s="22"/>
      <c r="F74" s="24"/>
    </row>
    <row r="75" spans="1:6" x14ac:dyDescent="0.25">
      <c r="A75" s="18"/>
      <c r="B75" s="31"/>
      <c r="C75" s="31"/>
      <c r="D75" s="21"/>
      <c r="E75" s="22"/>
      <c r="F75" s="24"/>
    </row>
    <row r="76" spans="1:6" x14ac:dyDescent="0.25">
      <c r="A76" s="18"/>
      <c r="B76" s="31"/>
      <c r="C76" s="31"/>
      <c r="D76" s="21"/>
      <c r="E76" s="22"/>
      <c r="F76" s="24"/>
    </row>
    <row r="77" spans="1:6" x14ac:dyDescent="0.25">
      <c r="A77" s="18"/>
      <c r="B77" s="31"/>
      <c r="C77" s="31"/>
      <c r="D77" s="21"/>
      <c r="E77" s="22"/>
      <c r="F77" s="24"/>
    </row>
    <row r="78" spans="1:6" x14ac:dyDescent="0.25">
      <c r="A78" s="18"/>
      <c r="B78" s="31"/>
      <c r="C78" s="31"/>
      <c r="D78" s="21"/>
      <c r="E78" s="22"/>
      <c r="F78" s="24"/>
    </row>
    <row r="79" spans="1:6" x14ac:dyDescent="0.25">
      <c r="A79" s="18"/>
      <c r="B79" s="31"/>
      <c r="C79" s="31"/>
      <c r="D79" s="21"/>
      <c r="E79" s="22"/>
      <c r="F79" s="24"/>
    </row>
    <row r="80" spans="1:6" x14ac:dyDescent="0.25">
      <c r="A80" s="18"/>
      <c r="B80" s="31"/>
      <c r="C80" s="31"/>
      <c r="D80" s="21"/>
      <c r="E80" s="22"/>
      <c r="F80" s="24"/>
    </row>
    <row r="81" spans="1:6" x14ac:dyDescent="0.25">
      <c r="A81" s="18"/>
      <c r="B81" s="31"/>
      <c r="C81" s="31"/>
      <c r="D81" s="21"/>
      <c r="E81" s="22"/>
      <c r="F81" s="24"/>
    </row>
    <row r="82" spans="1:6" x14ac:dyDescent="0.25">
      <c r="A82" s="18"/>
      <c r="B82" s="31"/>
      <c r="C82" s="31"/>
      <c r="D82" s="21"/>
      <c r="E82" s="22"/>
      <c r="F82" s="24"/>
    </row>
    <row r="83" spans="1:6" x14ac:dyDescent="0.25">
      <c r="A83" s="18"/>
      <c r="B83" s="31"/>
      <c r="C83" s="31"/>
      <c r="D83" s="21"/>
      <c r="E83" s="22"/>
      <c r="F83" s="24"/>
    </row>
    <row r="84" spans="1:6" x14ac:dyDescent="0.25">
      <c r="A84" s="18"/>
      <c r="B84" s="31"/>
      <c r="C84" s="31"/>
      <c r="D84" s="21"/>
      <c r="E84" s="22"/>
      <c r="F84" s="24"/>
    </row>
    <row r="85" spans="1:6" x14ac:dyDescent="0.25">
      <c r="A85" s="18"/>
      <c r="B85" s="31"/>
      <c r="C85" s="31"/>
      <c r="D85" s="21"/>
      <c r="E85" s="22"/>
      <c r="F85" s="24"/>
    </row>
    <row r="86" spans="1:6" x14ac:dyDescent="0.25">
      <c r="A86" s="18"/>
      <c r="B86" s="31"/>
      <c r="C86" s="31"/>
      <c r="D86" s="21"/>
      <c r="E86" s="22"/>
      <c r="F86" s="24"/>
    </row>
    <row r="87" spans="1:6" x14ac:dyDescent="0.25">
      <c r="A87" s="18"/>
      <c r="B87" s="31"/>
      <c r="C87" s="31"/>
      <c r="D87" s="21"/>
      <c r="E87" s="22"/>
      <c r="F87" s="24"/>
    </row>
    <row r="88" spans="1:6" x14ac:dyDescent="0.25">
      <c r="A88" s="18"/>
      <c r="B88" s="31"/>
      <c r="C88" s="31"/>
      <c r="D88" s="21"/>
      <c r="E88" s="22"/>
      <c r="F88" s="24"/>
    </row>
    <row r="89" spans="1:6" x14ac:dyDescent="0.25">
      <c r="A89" s="18"/>
      <c r="B89" s="31"/>
      <c r="C89" s="31"/>
      <c r="D89" s="21"/>
      <c r="E89" s="22"/>
      <c r="F89" s="24"/>
    </row>
    <row r="90" spans="1:6" x14ac:dyDescent="0.25">
      <c r="A90" s="18"/>
      <c r="B90" s="31"/>
      <c r="C90" s="31"/>
      <c r="D90" s="21"/>
      <c r="E90" s="22"/>
      <c r="F90" s="24"/>
    </row>
    <row r="91" spans="1:6" x14ac:dyDescent="0.25">
      <c r="A91" s="18"/>
      <c r="B91" s="31"/>
      <c r="C91" s="31"/>
      <c r="D91" s="21"/>
      <c r="E91" s="22"/>
      <c r="F91" s="24"/>
    </row>
    <row r="92" spans="1:6" x14ac:dyDescent="0.25">
      <c r="A92" s="18"/>
      <c r="B92" s="31"/>
      <c r="C92" s="31"/>
      <c r="D92" s="21"/>
      <c r="E92" s="22"/>
      <c r="F92" s="24"/>
    </row>
    <row r="93" spans="1:6" x14ac:dyDescent="0.25">
      <c r="A93" s="18"/>
      <c r="B93" s="31"/>
      <c r="C93" s="31"/>
      <c r="D93" s="21"/>
      <c r="E93" s="22"/>
      <c r="F93" s="24"/>
    </row>
    <row r="94" spans="1:6" x14ac:dyDescent="0.25">
      <c r="A94" s="18"/>
      <c r="B94" s="31"/>
      <c r="C94" s="31"/>
      <c r="D94" s="21"/>
      <c r="E94" s="22"/>
      <c r="F94" s="24"/>
    </row>
    <row r="95" spans="1:6" x14ac:dyDescent="0.25">
      <c r="A95" s="18"/>
      <c r="B95" s="31"/>
      <c r="C95" s="31"/>
      <c r="D95" s="21"/>
      <c r="E95" s="22"/>
      <c r="F95" s="24"/>
    </row>
    <row r="96" spans="1:6" x14ac:dyDescent="0.25">
      <c r="A96" s="18"/>
      <c r="B96" s="31"/>
      <c r="C96" s="31"/>
      <c r="D96" s="21"/>
      <c r="E96" s="22"/>
      <c r="F96" s="24"/>
    </row>
    <row r="97" spans="1:6" x14ac:dyDescent="0.25">
      <c r="A97" s="18"/>
      <c r="B97" s="31"/>
      <c r="C97" s="31"/>
      <c r="D97" s="21"/>
      <c r="E97" s="22"/>
      <c r="F97" s="24"/>
    </row>
    <row r="98" spans="1:6" x14ac:dyDescent="0.25">
      <c r="A98" s="18"/>
      <c r="B98" s="31"/>
      <c r="C98" s="31"/>
      <c r="D98" s="21"/>
      <c r="E98" s="22"/>
      <c r="F98" s="24"/>
    </row>
    <row r="99" spans="1:6" x14ac:dyDescent="0.25">
      <c r="A99" s="18"/>
      <c r="B99" s="31"/>
      <c r="C99" s="31"/>
      <c r="D99" s="21"/>
      <c r="E99" s="22"/>
      <c r="F99" s="24"/>
    </row>
    <row r="100" spans="1:6" x14ac:dyDescent="0.25">
      <c r="A100" s="18"/>
      <c r="B100" s="31"/>
      <c r="C100" s="31"/>
      <c r="D100" s="21"/>
      <c r="E100" s="22"/>
      <c r="F100" s="24"/>
    </row>
    <row r="101" spans="1:6" x14ac:dyDescent="0.25">
      <c r="A101" s="18"/>
      <c r="B101" s="31"/>
      <c r="C101" s="31"/>
      <c r="D101" s="21"/>
      <c r="E101" s="22"/>
      <c r="F101" s="24"/>
    </row>
    <row r="102" spans="1:6" x14ac:dyDescent="0.25">
      <c r="A102" s="18"/>
      <c r="B102" s="31"/>
      <c r="C102" s="31"/>
      <c r="D102" s="21"/>
      <c r="E102" s="22"/>
      <c r="F102" s="24"/>
    </row>
    <row r="103" spans="1:6" x14ac:dyDescent="0.25">
      <c r="A103" s="18"/>
      <c r="B103" s="31"/>
      <c r="C103" s="31"/>
      <c r="D103" s="21"/>
      <c r="E103" s="22"/>
      <c r="F103" s="24"/>
    </row>
    <row r="104" spans="1:6" x14ac:dyDescent="0.25">
      <c r="A104" s="18"/>
      <c r="B104" s="31"/>
      <c r="C104" s="31"/>
      <c r="D104" s="21"/>
      <c r="E104" s="22"/>
      <c r="F104" s="24"/>
    </row>
    <row r="105" spans="1:6" x14ac:dyDescent="0.25">
      <c r="A105" s="18"/>
      <c r="B105" s="31"/>
      <c r="C105" s="31"/>
      <c r="D105" s="21"/>
      <c r="E105" s="22"/>
      <c r="F105" s="24"/>
    </row>
    <row r="106" spans="1:6" x14ac:dyDescent="0.25">
      <c r="A106" s="18"/>
      <c r="B106" s="31"/>
      <c r="C106" s="31"/>
      <c r="D106" s="21"/>
      <c r="E106" s="22"/>
      <c r="F106" s="24"/>
    </row>
    <row r="107" spans="1:6" x14ac:dyDescent="0.25">
      <c r="A107" s="18"/>
      <c r="B107" s="31"/>
      <c r="C107" s="31"/>
      <c r="D107" s="21"/>
      <c r="E107" s="22"/>
      <c r="F107" s="24"/>
    </row>
    <row r="108" spans="1:6" x14ac:dyDescent="0.25">
      <c r="A108" s="18"/>
      <c r="B108" s="31"/>
      <c r="C108" s="31"/>
      <c r="D108" s="21"/>
      <c r="E108" s="22"/>
      <c r="F108" s="24"/>
    </row>
    <row r="109" spans="1:6" x14ac:dyDescent="0.25">
      <c r="A109" s="18"/>
      <c r="B109" s="31"/>
      <c r="C109" s="31"/>
      <c r="D109" s="21"/>
      <c r="E109" s="22"/>
      <c r="F109" s="24"/>
    </row>
    <row r="110" spans="1:6" x14ac:dyDescent="0.25">
      <c r="A110" s="18"/>
      <c r="B110" s="31"/>
      <c r="C110" s="31"/>
      <c r="D110" s="21"/>
      <c r="E110" s="22"/>
      <c r="F110" s="24"/>
    </row>
    <row r="111" spans="1:6" x14ac:dyDescent="0.25">
      <c r="A111" s="18"/>
      <c r="B111" s="31"/>
      <c r="C111" s="31"/>
      <c r="D111" s="21"/>
      <c r="E111" s="22"/>
      <c r="F111" s="24"/>
    </row>
    <row r="112" spans="1:6" x14ac:dyDescent="0.25">
      <c r="A112" s="18"/>
      <c r="B112" s="31"/>
      <c r="C112" s="31"/>
      <c r="D112" s="21"/>
      <c r="E112" s="22"/>
      <c r="F112" s="24"/>
    </row>
    <row r="113" spans="1:6" x14ac:dyDescent="0.25">
      <c r="A113" s="18"/>
      <c r="B113" s="31"/>
      <c r="C113" s="31"/>
      <c r="D113" s="21"/>
      <c r="E113" s="22"/>
      <c r="F113" s="24"/>
    </row>
    <row r="114" spans="1:6" x14ac:dyDescent="0.25">
      <c r="A114" s="18"/>
      <c r="B114" s="31"/>
      <c r="C114" s="31"/>
      <c r="D114" s="21"/>
      <c r="E114" s="22"/>
      <c r="F114" s="24"/>
    </row>
    <row r="115" spans="1:6" x14ac:dyDescent="0.25">
      <c r="A115" s="18"/>
      <c r="B115" s="31"/>
      <c r="C115" s="31"/>
      <c r="D115" s="21"/>
      <c r="E115" s="22"/>
      <c r="F115" s="24"/>
    </row>
    <row r="116" spans="1:6" x14ac:dyDescent="0.25">
      <c r="A116" s="18"/>
      <c r="B116" s="31"/>
      <c r="C116" s="31"/>
      <c r="D116" s="21"/>
      <c r="E116" s="22"/>
      <c r="F116" s="24"/>
    </row>
    <row r="117" spans="1:6" x14ac:dyDescent="0.25">
      <c r="A117" s="18"/>
      <c r="B117" s="31"/>
      <c r="C117" s="31"/>
      <c r="D117" s="21"/>
      <c r="E117" s="22"/>
      <c r="F117" s="24"/>
    </row>
    <row r="118" spans="1:6" x14ac:dyDescent="0.25">
      <c r="A118" s="18"/>
      <c r="B118" s="31"/>
      <c r="C118" s="31"/>
      <c r="D118" s="21"/>
      <c r="E118" s="22"/>
      <c r="F118" s="24"/>
    </row>
    <row r="119" spans="1:6" x14ac:dyDescent="0.25">
      <c r="A119" s="18"/>
      <c r="B119" s="31"/>
      <c r="C119" s="31"/>
      <c r="D119" s="21"/>
      <c r="E119" s="22"/>
      <c r="F119" s="24"/>
    </row>
    <row r="120" spans="1:6" x14ac:dyDescent="0.25">
      <c r="A120" s="18"/>
      <c r="B120" s="31"/>
      <c r="C120" s="31"/>
      <c r="D120" s="21"/>
      <c r="E120" s="22"/>
      <c r="F120" s="24"/>
    </row>
    <row r="121" spans="1:6" x14ac:dyDescent="0.25">
      <c r="A121" s="18"/>
      <c r="B121" s="31"/>
      <c r="C121" s="31"/>
      <c r="D121" s="21"/>
      <c r="E121" s="22"/>
      <c r="F121" s="24"/>
    </row>
    <row r="122" spans="1:6" x14ac:dyDescent="0.25">
      <c r="A122" s="18"/>
      <c r="B122" s="31"/>
      <c r="C122" s="31"/>
      <c r="D122" s="21"/>
      <c r="E122" s="22"/>
      <c r="F122" s="24"/>
    </row>
    <row r="123" spans="1:6" x14ac:dyDescent="0.25">
      <c r="A123" s="18"/>
      <c r="B123" s="31"/>
      <c r="C123" s="31"/>
      <c r="D123" s="21"/>
      <c r="E123" s="22"/>
      <c r="F123" s="24"/>
    </row>
    <row r="124" spans="1:6" x14ac:dyDescent="0.25">
      <c r="A124" s="18"/>
      <c r="B124" s="31"/>
      <c r="C124" s="31"/>
      <c r="D124" s="21"/>
      <c r="E124" s="22"/>
      <c r="F124" s="24"/>
    </row>
    <row r="125" spans="1:6" x14ac:dyDescent="0.25">
      <c r="A125" s="18"/>
      <c r="B125" s="31"/>
      <c r="C125" s="31"/>
      <c r="D125" s="21"/>
      <c r="E125" s="22"/>
      <c r="F125" s="24"/>
    </row>
    <row r="126" spans="1:6" x14ac:dyDescent="0.25">
      <c r="A126" s="18"/>
      <c r="B126" s="31"/>
      <c r="C126" s="31"/>
      <c r="D126" s="21"/>
      <c r="E126" s="22"/>
      <c r="F126" s="24"/>
    </row>
    <row r="127" spans="1:6" x14ac:dyDescent="0.25">
      <c r="A127" s="18"/>
      <c r="B127" s="31"/>
      <c r="C127" s="31"/>
      <c r="D127" s="21"/>
      <c r="E127" s="22"/>
      <c r="F127" s="24"/>
    </row>
    <row r="128" spans="1:6" x14ac:dyDescent="0.25">
      <c r="A128" s="18"/>
      <c r="B128" s="31"/>
      <c r="C128" s="31"/>
      <c r="D128" s="21"/>
      <c r="E128" s="22"/>
      <c r="F128" s="24"/>
    </row>
    <row r="129" spans="1:6" x14ac:dyDescent="0.25">
      <c r="A129" s="18"/>
      <c r="B129" s="31"/>
      <c r="C129" s="31"/>
      <c r="D129" s="21"/>
      <c r="E129" s="22"/>
      <c r="F129" s="24"/>
    </row>
    <row r="130" spans="1:6" x14ac:dyDescent="0.25">
      <c r="A130" s="18"/>
      <c r="B130" s="31"/>
      <c r="C130" s="31"/>
      <c r="D130" s="21"/>
      <c r="E130" s="22"/>
      <c r="F130" s="24"/>
    </row>
    <row r="131" spans="1:6" x14ac:dyDescent="0.25">
      <c r="A131" s="18"/>
      <c r="B131" s="31"/>
      <c r="C131" s="31"/>
      <c r="D131" s="21"/>
      <c r="E131" s="22"/>
      <c r="F131" s="24"/>
    </row>
    <row r="132" spans="1:6" x14ac:dyDescent="0.25">
      <c r="A132" s="18"/>
      <c r="B132" s="31"/>
      <c r="C132" s="31"/>
      <c r="D132" s="21"/>
      <c r="E132" s="22"/>
      <c r="F132" s="24"/>
    </row>
    <row r="133" spans="1:6" x14ac:dyDescent="0.25">
      <c r="A133" s="18"/>
      <c r="B133" s="31"/>
      <c r="C133" s="31"/>
      <c r="D133" s="21"/>
      <c r="E133" s="22"/>
      <c r="F133" s="24"/>
    </row>
    <row r="134" spans="1:6" x14ac:dyDescent="0.25">
      <c r="A134" s="18"/>
      <c r="B134" s="31"/>
      <c r="C134" s="31"/>
      <c r="D134" s="21"/>
      <c r="E134" s="22"/>
      <c r="F134" s="24"/>
    </row>
    <row r="135" spans="1:6" x14ac:dyDescent="0.25">
      <c r="A135" s="18"/>
      <c r="B135" s="31"/>
      <c r="C135" s="31"/>
      <c r="D135" s="21"/>
      <c r="E135" s="22"/>
      <c r="F135" s="24"/>
    </row>
    <row r="136" spans="1:6" x14ac:dyDescent="0.25">
      <c r="A136" s="18"/>
      <c r="B136" s="31"/>
      <c r="C136" s="31"/>
      <c r="D136" s="21"/>
      <c r="E136" s="22"/>
      <c r="F136" s="24"/>
    </row>
    <row r="137" spans="1:6" x14ac:dyDescent="0.25">
      <c r="A137" s="18"/>
      <c r="B137" s="31"/>
      <c r="C137" s="31"/>
      <c r="D137" s="21"/>
      <c r="E137" s="22"/>
      <c r="F137" s="24"/>
    </row>
    <row r="138" spans="1:6" x14ac:dyDescent="0.25">
      <c r="A138" s="18"/>
      <c r="B138" s="31"/>
      <c r="C138" s="31"/>
      <c r="D138" s="21"/>
      <c r="E138" s="22"/>
      <c r="F138" s="24"/>
    </row>
    <row r="139" spans="1:6" x14ac:dyDescent="0.25">
      <c r="A139" s="18"/>
      <c r="B139" s="31"/>
      <c r="C139" s="31"/>
      <c r="D139" s="21"/>
      <c r="E139" s="22"/>
      <c r="F139" s="24"/>
    </row>
    <row r="140" spans="1:6" x14ac:dyDescent="0.25">
      <c r="A140" s="18"/>
      <c r="B140" s="31"/>
      <c r="C140" s="31"/>
      <c r="D140" s="21"/>
      <c r="E140" s="22"/>
      <c r="F140" s="24"/>
    </row>
    <row r="141" spans="1:6" x14ac:dyDescent="0.25">
      <c r="A141" s="18"/>
      <c r="B141" s="31"/>
      <c r="C141" s="31"/>
      <c r="D141" s="21"/>
      <c r="E141" s="22"/>
      <c r="F141" s="24"/>
    </row>
    <row r="142" spans="1:6" x14ac:dyDescent="0.25">
      <c r="A142" s="18"/>
      <c r="B142" s="31"/>
      <c r="C142" s="31"/>
      <c r="D142" s="21"/>
      <c r="E142" s="22"/>
      <c r="F142" s="24"/>
    </row>
    <row r="143" spans="1:6" x14ac:dyDescent="0.25">
      <c r="A143" s="18"/>
      <c r="B143" s="31"/>
      <c r="C143" s="31"/>
      <c r="D143" s="21"/>
      <c r="E143" s="22"/>
      <c r="F143" s="24"/>
    </row>
    <row r="144" spans="1:6" x14ac:dyDescent="0.25">
      <c r="A144" s="18"/>
      <c r="B144" s="31"/>
      <c r="C144" s="31"/>
      <c r="D144" s="21"/>
      <c r="E144" s="22"/>
      <c r="F144" s="24"/>
    </row>
    <row r="145" spans="1:6" x14ac:dyDescent="0.25">
      <c r="A145" s="18"/>
      <c r="B145" s="31"/>
      <c r="C145" s="31"/>
      <c r="D145" s="21"/>
      <c r="E145" s="22"/>
      <c r="F145" s="24"/>
    </row>
    <row r="146" spans="1:6" x14ac:dyDescent="0.25">
      <c r="A146" s="18"/>
      <c r="B146" s="31"/>
      <c r="C146" s="31"/>
      <c r="D146" s="21"/>
      <c r="E146" s="22"/>
      <c r="F146" s="24"/>
    </row>
    <row r="147" spans="1:6" x14ac:dyDescent="0.25">
      <c r="A147" s="18"/>
      <c r="B147" s="31"/>
      <c r="C147" s="31"/>
      <c r="D147" s="21"/>
      <c r="E147" s="22"/>
      <c r="F147" s="24"/>
    </row>
    <row r="148" spans="1:6" x14ac:dyDescent="0.25">
      <c r="A148" s="18"/>
      <c r="B148" s="31"/>
      <c r="C148" s="31"/>
      <c r="D148" s="21"/>
      <c r="E148" s="22"/>
      <c r="F148" s="24"/>
    </row>
    <row r="149" spans="1:6" x14ac:dyDescent="0.25">
      <c r="A149" s="18"/>
      <c r="B149" s="31"/>
      <c r="C149" s="31"/>
      <c r="D149" s="21"/>
      <c r="E149" s="22"/>
      <c r="F149" s="24"/>
    </row>
    <row r="150" spans="1:6" x14ac:dyDescent="0.25">
      <c r="A150" s="18"/>
      <c r="B150" s="31"/>
      <c r="C150" s="31"/>
      <c r="D150" s="21"/>
      <c r="E150" s="22"/>
      <c r="F150" s="24"/>
    </row>
    <row r="151" spans="1:6" x14ac:dyDescent="0.25">
      <c r="A151" s="18"/>
      <c r="B151" s="31"/>
      <c r="C151" s="31"/>
      <c r="D151" s="21"/>
      <c r="E151" s="22"/>
      <c r="F151" s="24"/>
    </row>
    <row r="152" spans="1:6" x14ac:dyDescent="0.25">
      <c r="A152" s="18"/>
      <c r="B152" s="31"/>
      <c r="C152" s="31"/>
      <c r="D152" s="21"/>
      <c r="E152" s="22"/>
      <c r="F152" s="24"/>
    </row>
    <row r="153" spans="1:6" x14ac:dyDescent="0.25">
      <c r="A153" s="18"/>
      <c r="B153" s="31"/>
      <c r="C153" s="31"/>
      <c r="D153" s="21"/>
      <c r="E153" s="22"/>
      <c r="F153" s="24"/>
    </row>
    <row r="154" spans="1:6" x14ac:dyDescent="0.25">
      <c r="A154" s="18"/>
      <c r="B154" s="31"/>
      <c r="C154" s="31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D15" sqref="D1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5" x14ac:dyDescent="0.25">
      <c r="A2" s="4" t="s">
        <v>42</v>
      </c>
      <c r="B2" s="4">
        <v>41.32</v>
      </c>
      <c r="C2" s="8" cm="1">
        <f t="array" ref="C2">[1]!IEYHO.GUNFY</f>
        <v>0.55865921787709405</v>
      </c>
      <c r="D2" s="29">
        <f>B2*C2/100</f>
        <v>0.23083798882681528</v>
      </c>
    </row>
    <row r="3" spans="1:5" x14ac:dyDescent="0.25">
      <c r="A3" s="4" t="s">
        <v>39</v>
      </c>
      <c r="B3" s="4">
        <v>3.28</v>
      </c>
      <c r="C3" s="8" cm="1">
        <f t="array" ref="C3">[1]!ISKPL.GUNFY</f>
        <v>10</v>
      </c>
      <c r="D3" s="29">
        <f t="shared" ref="D3:D9" si="0">B3*C3/100</f>
        <v>0.32799999999999996</v>
      </c>
    </row>
    <row r="4" spans="1:5" x14ac:dyDescent="0.25">
      <c r="A4" s="4" t="s">
        <v>40</v>
      </c>
      <c r="B4" s="4">
        <v>0.19</v>
      </c>
      <c r="C4" s="8" cm="1">
        <f t="array" ref="C4">[1]!LIDER.GUNFY</f>
        <v>-9.9813084112149504</v>
      </c>
      <c r="D4" s="29">
        <f t="shared" si="0"/>
        <v>-1.8964485981308406E-2</v>
      </c>
    </row>
    <row r="5" spans="1:5" x14ac:dyDescent="0.25">
      <c r="A5" s="4" t="s">
        <v>41</v>
      </c>
      <c r="B5" s="4">
        <v>22.96</v>
      </c>
      <c r="C5" s="4">
        <v>-0.35</v>
      </c>
      <c r="D5" s="29">
        <f t="shared" si="0"/>
        <v>-8.0360000000000001E-2</v>
      </c>
    </row>
    <row r="6" spans="1:5" x14ac:dyDescent="0.25">
      <c r="A6" s="4" t="s">
        <v>91</v>
      </c>
      <c r="B6" s="4">
        <v>5.29</v>
      </c>
      <c r="C6" s="4">
        <v>0.12</v>
      </c>
      <c r="D6" s="29">
        <f t="shared" si="0"/>
        <v>6.3480000000000003E-3</v>
      </c>
    </row>
    <row r="7" spans="1:5" x14ac:dyDescent="0.25">
      <c r="A7" s="4" t="s">
        <v>92</v>
      </c>
      <c r="B7" s="4">
        <v>1.07</v>
      </c>
      <c r="C7" s="4">
        <v>2.93</v>
      </c>
      <c r="D7" s="29">
        <f t="shared" si="0"/>
        <v>3.1351000000000004E-2</v>
      </c>
    </row>
    <row r="8" spans="1:5" x14ac:dyDescent="0.25">
      <c r="A8" s="4" t="s">
        <v>93</v>
      </c>
      <c r="B8" s="4">
        <v>0.13</v>
      </c>
      <c r="C8" s="4">
        <v>0.11</v>
      </c>
      <c r="D8" s="29">
        <f t="shared" si="0"/>
        <v>1.4300000000000001E-4</v>
      </c>
    </row>
    <row r="9" spans="1:5" x14ac:dyDescent="0.25">
      <c r="A9" s="4" t="s">
        <v>94</v>
      </c>
      <c r="B9" s="4">
        <v>0.03</v>
      </c>
      <c r="C9" s="4">
        <v>-7.0000000000000007E-2</v>
      </c>
      <c r="D9" s="29">
        <f t="shared" si="0"/>
        <v>-2.1000000000000002E-5</v>
      </c>
      <c r="E9" s="4"/>
    </row>
    <row r="10" spans="1:5" x14ac:dyDescent="0.25">
      <c r="A10" s="12" t="s">
        <v>53</v>
      </c>
      <c r="B10" s="5">
        <f>B2++B3+B4+B5+B6+B7+B8+B9</f>
        <v>74.27</v>
      </c>
      <c r="C10" s="4"/>
      <c r="D10" s="6">
        <f>D2+D3+D4+D5+D6+D7+D8+D9</f>
        <v>0.4973345028455069</v>
      </c>
      <c r="E10" s="17"/>
    </row>
    <row r="11" spans="1:5" x14ac:dyDescent="0.25">
      <c r="A11" s="31"/>
      <c r="B11" s="31"/>
      <c r="C11" s="10"/>
      <c r="D11" s="10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23"/>
      <c r="B32" s="31"/>
      <c r="C32" s="31"/>
      <c r="D32" s="21"/>
      <c r="E32" s="21"/>
      <c r="F32" s="24"/>
    </row>
    <row r="33" spans="1:6" x14ac:dyDescent="0.25">
      <c r="A33" s="23"/>
      <c r="B33" s="31"/>
      <c r="C33" s="31"/>
      <c r="D33" s="21"/>
      <c r="E33" s="21"/>
      <c r="F33" s="24"/>
    </row>
    <row r="34" spans="1:6" x14ac:dyDescent="0.25">
      <c r="A34" s="23"/>
      <c r="B34" s="31"/>
      <c r="C34" s="31"/>
      <c r="D34" s="21"/>
      <c r="E34" s="21"/>
      <c r="F34" s="24"/>
    </row>
    <row r="35" spans="1:6" x14ac:dyDescent="0.25">
      <c r="A35" s="23"/>
      <c r="B35" s="31"/>
      <c r="C35" s="31"/>
      <c r="D35" s="21"/>
      <c r="E35" s="21"/>
      <c r="F35" s="24"/>
    </row>
    <row r="36" spans="1:6" x14ac:dyDescent="0.25">
      <c r="A36" s="23"/>
      <c r="B36" s="31"/>
      <c r="C36" s="31"/>
      <c r="D36" s="21"/>
      <c r="E36" s="21"/>
      <c r="F36" s="24"/>
    </row>
    <row r="37" spans="1:6" x14ac:dyDescent="0.25">
      <c r="A37" s="23"/>
      <c r="B37" s="31"/>
      <c r="C37" s="31"/>
      <c r="D37" s="21"/>
      <c r="E37" s="21"/>
      <c r="F37" s="24"/>
    </row>
    <row r="38" spans="1:6" x14ac:dyDescent="0.25">
      <c r="A38" s="23"/>
      <c r="B38" s="31"/>
      <c r="C38" s="31"/>
      <c r="D38" s="21"/>
      <c r="E38" s="21"/>
      <c r="F38" s="24"/>
    </row>
    <row r="39" spans="1:6" x14ac:dyDescent="0.25">
      <c r="A39" s="23"/>
      <c r="B39" s="31"/>
      <c r="C39" s="31"/>
      <c r="D39" s="21"/>
      <c r="E39" s="21"/>
      <c r="F39" s="24"/>
    </row>
    <row r="40" spans="1:6" x14ac:dyDescent="0.25">
      <c r="A40" s="23"/>
      <c r="B40" s="31"/>
      <c r="C40" s="31"/>
      <c r="D40" s="21"/>
      <c r="E40" s="21"/>
      <c r="F40" s="24"/>
    </row>
    <row r="41" spans="1:6" x14ac:dyDescent="0.25">
      <c r="A41" s="23"/>
      <c r="B41" s="31"/>
      <c r="C41" s="31"/>
      <c r="D41" s="21"/>
      <c r="E41" s="21"/>
      <c r="F41" s="24"/>
    </row>
    <row r="42" spans="1:6" x14ac:dyDescent="0.25">
      <c r="A42" s="23"/>
      <c r="B42" s="31"/>
      <c r="C42" s="31"/>
      <c r="D42" s="21"/>
      <c r="E42" s="21"/>
      <c r="F42" s="24"/>
    </row>
    <row r="43" spans="1:6" x14ac:dyDescent="0.25">
      <c r="A43" s="23"/>
      <c r="B43" s="31"/>
      <c r="C43" s="31"/>
      <c r="D43" s="21"/>
      <c r="E43" s="21"/>
      <c r="F43" s="24"/>
    </row>
    <row r="44" spans="1:6" x14ac:dyDescent="0.25">
      <c r="A44" s="23"/>
      <c r="B44" s="31"/>
      <c r="C44" s="31"/>
      <c r="D44" s="21"/>
      <c r="E44" s="21"/>
      <c r="F44" s="24"/>
    </row>
    <row r="45" spans="1:6" x14ac:dyDescent="0.25">
      <c r="A45" s="23"/>
      <c r="B45" s="31"/>
      <c r="C45" s="31"/>
      <c r="D45" s="21"/>
      <c r="E45" s="21"/>
      <c r="F45" s="24"/>
    </row>
    <row r="46" spans="1:6" x14ac:dyDescent="0.25">
      <c r="A46" s="23"/>
      <c r="B46" s="31"/>
      <c r="C46" s="31"/>
      <c r="D46" s="21"/>
      <c r="E46" s="21"/>
      <c r="F46" s="24"/>
    </row>
    <row r="47" spans="1:6" x14ac:dyDescent="0.25">
      <c r="A47" s="23"/>
      <c r="B47" s="31"/>
      <c r="C47" s="31"/>
      <c r="D47" s="21"/>
      <c r="E47" s="21"/>
      <c r="F47" s="24"/>
    </row>
    <row r="48" spans="1:6" x14ac:dyDescent="0.25">
      <c r="A48" s="23"/>
      <c r="B48" s="31"/>
      <c r="C48" s="31"/>
      <c r="D48" s="21"/>
      <c r="E48" s="21"/>
      <c r="F48" s="24"/>
    </row>
    <row r="49" spans="1:6" x14ac:dyDescent="0.25">
      <c r="A49" s="23"/>
      <c r="B49" s="31"/>
      <c r="C49" s="31"/>
      <c r="D49" s="21"/>
      <c r="E49" s="21"/>
      <c r="F49" s="24"/>
    </row>
    <row r="50" spans="1:6" x14ac:dyDescent="0.25">
      <c r="A50" s="23"/>
      <c r="B50" s="31"/>
      <c r="C50" s="31"/>
      <c r="D50" s="21"/>
      <c r="E50" s="21"/>
      <c r="F50" s="24"/>
    </row>
    <row r="51" spans="1:6" x14ac:dyDescent="0.25">
      <c r="A51" s="23"/>
      <c r="B51" s="31"/>
      <c r="C51" s="31"/>
      <c r="D51" s="21"/>
      <c r="E51" s="21"/>
      <c r="F51" s="24"/>
    </row>
    <row r="52" spans="1:6" x14ac:dyDescent="0.25">
      <c r="A52" s="23"/>
      <c r="B52" s="31"/>
      <c r="C52" s="31"/>
      <c r="D52" s="21"/>
      <c r="E52" s="21"/>
      <c r="F52" s="24"/>
    </row>
    <row r="53" spans="1:6" x14ac:dyDescent="0.25">
      <c r="A53" s="23"/>
      <c r="B53" s="31"/>
      <c r="C53" s="31"/>
      <c r="D53" s="21"/>
      <c r="E53" s="21"/>
      <c r="F53" s="24"/>
    </row>
    <row r="54" spans="1:6" x14ac:dyDescent="0.25">
      <c r="A54" s="23"/>
      <c r="B54" s="31"/>
      <c r="C54" s="31"/>
      <c r="D54" s="21"/>
      <c r="E54" s="21"/>
      <c r="F54" s="24"/>
    </row>
    <row r="55" spans="1:6" x14ac:dyDescent="0.25">
      <c r="A55" s="23"/>
      <c r="B55" s="31"/>
      <c r="C55" s="31"/>
      <c r="D55" s="21"/>
      <c r="E55" s="21"/>
      <c r="F55" s="24"/>
    </row>
    <row r="56" spans="1:6" x14ac:dyDescent="0.25">
      <c r="A56" s="23"/>
      <c r="B56" s="31"/>
      <c r="C56" s="31"/>
      <c r="D56" s="21"/>
      <c r="E56" s="21"/>
      <c r="F56" s="24"/>
    </row>
    <row r="57" spans="1:6" x14ac:dyDescent="0.25">
      <c r="A57" s="23"/>
      <c r="B57" s="31"/>
      <c r="C57" s="31"/>
      <c r="D57" s="21"/>
      <c r="E57" s="21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23"/>
      <c r="B59" s="31"/>
      <c r="C59" s="31"/>
      <c r="D59" s="21"/>
      <c r="E59" s="21"/>
      <c r="F59" s="24"/>
    </row>
    <row r="60" spans="1:6" x14ac:dyDescent="0.25">
      <c r="A60" s="23"/>
      <c r="B60" s="31"/>
      <c r="C60" s="31"/>
      <c r="D60" s="21"/>
      <c r="E60" s="21"/>
      <c r="F60" s="24"/>
    </row>
    <row r="61" spans="1:6" x14ac:dyDescent="0.25">
      <c r="A61" s="23"/>
      <c r="B61" s="31"/>
      <c r="C61" s="31"/>
      <c r="D61" s="21"/>
      <c r="E61" s="21"/>
      <c r="F61" s="24"/>
    </row>
    <row r="62" spans="1:6" x14ac:dyDescent="0.25">
      <c r="A62" s="23"/>
      <c r="B62" s="31"/>
      <c r="C62" s="31"/>
      <c r="D62" s="21"/>
      <c r="E62" s="21"/>
      <c r="F62" s="24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A76" s="23"/>
      <c r="B76" s="31"/>
      <c r="C76" s="31"/>
      <c r="D76" s="21"/>
      <c r="E76" s="21"/>
      <c r="F76" s="24"/>
    </row>
    <row r="77" spans="1:6" x14ac:dyDescent="0.25">
      <c r="A77" s="23"/>
      <c r="B77" s="31"/>
      <c r="C77" s="31"/>
      <c r="D77" s="21"/>
      <c r="E77" s="21"/>
      <c r="F77" s="24"/>
    </row>
    <row r="78" spans="1:6" x14ac:dyDescent="0.25">
      <c r="A78" s="23"/>
      <c r="B78" s="31"/>
      <c r="C78" s="31"/>
      <c r="D78" s="21"/>
      <c r="E78" s="21"/>
      <c r="F78" s="24"/>
    </row>
    <row r="79" spans="1:6" x14ac:dyDescent="0.25">
      <c r="A79" s="23"/>
      <c r="B79" s="31"/>
      <c r="C79" s="31"/>
      <c r="D79" s="21"/>
      <c r="E79" s="21"/>
      <c r="F79" s="24"/>
    </row>
    <row r="80" spans="1:6" x14ac:dyDescent="0.25">
      <c r="A80" s="23"/>
      <c r="B80" s="31"/>
      <c r="C80" s="31"/>
      <c r="D80" s="21"/>
      <c r="E80" s="21"/>
      <c r="F80" s="24"/>
    </row>
    <row r="81" spans="1:6" x14ac:dyDescent="0.25">
      <c r="A81" s="23"/>
      <c r="B81" s="31"/>
      <c r="C81" s="31"/>
      <c r="D81" s="21"/>
      <c r="E81" s="21"/>
      <c r="F81" s="24"/>
    </row>
    <row r="82" spans="1:6" x14ac:dyDescent="0.25">
      <c r="A82" s="23"/>
      <c r="B82" s="31"/>
      <c r="C82" s="31"/>
      <c r="D82" s="21"/>
      <c r="E82" s="21"/>
      <c r="F82" s="24"/>
    </row>
    <row r="83" spans="1:6" x14ac:dyDescent="0.25">
      <c r="A83" s="23"/>
      <c r="B83" s="31"/>
      <c r="C83" s="31"/>
      <c r="D83" s="21"/>
      <c r="E83" s="21"/>
      <c r="F83" s="24"/>
    </row>
    <row r="84" spans="1:6" x14ac:dyDescent="0.25">
      <c r="A84" s="23"/>
      <c r="B84" s="31"/>
      <c r="C84" s="31"/>
      <c r="D84" s="21"/>
      <c r="E84" s="21"/>
      <c r="F84" s="24"/>
    </row>
    <row r="85" spans="1:6" x14ac:dyDescent="0.25">
      <c r="A85" s="23"/>
      <c r="B85" s="31"/>
      <c r="C85" s="31"/>
      <c r="D85" s="21"/>
      <c r="E85" s="21"/>
      <c r="F85" s="24"/>
    </row>
    <row r="86" spans="1:6" x14ac:dyDescent="0.25">
      <c r="A86" s="23"/>
      <c r="B86" s="31"/>
      <c r="C86" s="31"/>
      <c r="D86" s="21"/>
      <c r="E86" s="21"/>
      <c r="F86" s="24"/>
    </row>
    <row r="87" spans="1:6" x14ac:dyDescent="0.25">
      <c r="A87" s="23"/>
      <c r="B87" s="31"/>
      <c r="C87" s="31"/>
      <c r="D87" s="21"/>
      <c r="E87" s="21"/>
      <c r="F87" s="24"/>
    </row>
    <row r="88" spans="1:6" x14ac:dyDescent="0.25">
      <c r="A88" s="23"/>
      <c r="B88" s="31"/>
      <c r="C88" s="31"/>
      <c r="D88" s="21"/>
      <c r="E88" s="21"/>
      <c r="F88" s="24"/>
    </row>
    <row r="89" spans="1:6" x14ac:dyDescent="0.25">
      <c r="A89" s="23"/>
      <c r="B89" s="31"/>
      <c r="C89" s="31"/>
      <c r="D89" s="21"/>
      <c r="E89" s="21"/>
      <c r="F89" s="24"/>
    </row>
    <row r="90" spans="1:6" x14ac:dyDescent="0.25">
      <c r="A90" s="23"/>
      <c r="B90" s="31"/>
      <c r="C90" s="31"/>
      <c r="D90" s="21"/>
      <c r="E90" s="21"/>
      <c r="F90" s="24"/>
    </row>
    <row r="91" spans="1:6" x14ac:dyDescent="0.25">
      <c r="A91" s="23"/>
      <c r="B91" s="31"/>
      <c r="C91" s="31"/>
      <c r="D91" s="21"/>
      <c r="E91" s="21"/>
      <c r="F91" s="24"/>
    </row>
    <row r="92" spans="1:6" x14ac:dyDescent="0.25">
      <c r="A92" s="23"/>
      <c r="B92" s="31"/>
      <c r="C92" s="31"/>
      <c r="D92" s="21"/>
      <c r="E92" s="21"/>
      <c r="F92" s="24"/>
    </row>
    <row r="93" spans="1:6" x14ac:dyDescent="0.25">
      <c r="A93" s="23"/>
      <c r="B93" s="31"/>
      <c r="C93" s="31"/>
      <c r="D93" s="21"/>
      <c r="E93" s="21"/>
      <c r="F93" s="24"/>
    </row>
    <row r="94" spans="1:6" x14ac:dyDescent="0.25">
      <c r="A94" s="23"/>
      <c r="B94" s="31"/>
      <c r="C94" s="31"/>
      <c r="D94" s="21"/>
      <c r="E94" s="21"/>
      <c r="F94" s="24"/>
    </row>
    <row r="95" spans="1:6" x14ac:dyDescent="0.25">
      <c r="A95" s="23"/>
      <c r="B95" s="31"/>
      <c r="C95" s="31"/>
      <c r="D95" s="21"/>
      <c r="E95" s="21"/>
      <c r="F95" s="24"/>
    </row>
    <row r="96" spans="1:6" x14ac:dyDescent="0.25">
      <c r="A96" s="23"/>
      <c r="B96" s="31"/>
      <c r="C96" s="31"/>
      <c r="D96" s="21"/>
      <c r="E96" s="21"/>
      <c r="F96" s="24"/>
    </row>
    <row r="97" spans="1:6" x14ac:dyDescent="0.25">
      <c r="A97" s="23"/>
      <c r="B97" s="31"/>
      <c r="C97" s="31"/>
      <c r="D97" s="21"/>
      <c r="E97" s="21"/>
      <c r="F97" s="24"/>
    </row>
    <row r="98" spans="1:6" x14ac:dyDescent="0.25">
      <c r="A98" s="23"/>
      <c r="B98" s="31"/>
      <c r="C98" s="31"/>
      <c r="D98" s="21"/>
      <c r="E98" s="21"/>
      <c r="F98" s="24"/>
    </row>
    <row r="99" spans="1:6" x14ac:dyDescent="0.25">
      <c r="A99" s="23"/>
      <c r="B99" s="31"/>
      <c r="C99" s="31"/>
      <c r="D99" s="21"/>
      <c r="E99" s="21"/>
      <c r="F99" s="24"/>
    </row>
    <row r="100" spans="1:6" x14ac:dyDescent="0.25">
      <c r="A100" s="23"/>
      <c r="B100" s="31"/>
      <c r="C100" s="31"/>
      <c r="D100" s="21"/>
      <c r="E100" s="21"/>
      <c r="F100" s="24"/>
    </row>
    <row r="101" spans="1:6" x14ac:dyDescent="0.25">
      <c r="A101" s="23"/>
      <c r="B101" s="31"/>
      <c r="C101" s="31"/>
      <c r="D101" s="21"/>
      <c r="E101" s="21"/>
      <c r="F101" s="24"/>
    </row>
    <row r="102" spans="1:6" x14ac:dyDescent="0.25">
      <c r="A102" s="23"/>
      <c r="B102" s="31"/>
      <c r="C102" s="31"/>
      <c r="D102" s="21"/>
      <c r="E102" s="21"/>
      <c r="F102" s="24"/>
    </row>
    <row r="103" spans="1:6" x14ac:dyDescent="0.25">
      <c r="A103" s="23"/>
      <c r="B103" s="31"/>
      <c r="C103" s="31"/>
      <c r="D103" s="21"/>
      <c r="E103" s="21"/>
      <c r="F103" s="24"/>
    </row>
    <row r="104" spans="1:6" x14ac:dyDescent="0.25">
      <c r="A104" s="23"/>
      <c r="B104" s="31"/>
      <c r="C104" s="31"/>
      <c r="D104" s="21"/>
      <c r="E104" s="21"/>
      <c r="F104" s="24"/>
    </row>
    <row r="105" spans="1:6" x14ac:dyDescent="0.25">
      <c r="A105" s="23"/>
      <c r="B105" s="31"/>
      <c r="C105" s="31"/>
      <c r="D105" s="21"/>
      <c r="E105" s="21"/>
      <c r="F105" s="24"/>
    </row>
    <row r="106" spans="1:6" x14ac:dyDescent="0.25">
      <c r="A106" s="23"/>
      <c r="B106" s="31"/>
      <c r="C106" s="31"/>
      <c r="D106" s="21"/>
      <c r="E106" s="21"/>
      <c r="F106" s="24"/>
    </row>
    <row r="107" spans="1:6" x14ac:dyDescent="0.25">
      <c r="A107" s="23"/>
      <c r="B107" s="31"/>
      <c r="C107" s="31"/>
      <c r="D107" s="21"/>
      <c r="E107" s="21"/>
      <c r="F107" s="24"/>
    </row>
    <row r="108" spans="1:6" x14ac:dyDescent="0.25">
      <c r="A108" s="23"/>
      <c r="B108" s="31"/>
      <c r="C108" s="31"/>
      <c r="D108" s="21"/>
      <c r="E108" s="21"/>
      <c r="F108" s="24"/>
    </row>
    <row r="109" spans="1:6" x14ac:dyDescent="0.25">
      <c r="A109" s="23"/>
      <c r="B109" s="31"/>
      <c r="C109" s="31"/>
      <c r="D109" s="21"/>
      <c r="E109" s="21"/>
      <c r="F109" s="24"/>
    </row>
    <row r="110" spans="1:6" x14ac:dyDescent="0.25">
      <c r="A110" s="23"/>
      <c r="B110" s="31"/>
      <c r="C110" s="31"/>
      <c r="D110" s="21"/>
      <c r="E110" s="21"/>
      <c r="F110" s="24"/>
    </row>
    <row r="111" spans="1:6" x14ac:dyDescent="0.25">
      <c r="A111" s="23"/>
      <c r="B111" s="31"/>
      <c r="C111" s="31"/>
      <c r="D111" s="21"/>
      <c r="E111" s="21"/>
      <c r="F111" s="24"/>
    </row>
    <row r="112" spans="1:6" x14ac:dyDescent="0.25">
      <c r="A112" s="23"/>
      <c r="B112" s="31"/>
      <c r="C112" s="31"/>
      <c r="D112" s="21"/>
      <c r="E112" s="21"/>
      <c r="F112" s="24"/>
    </row>
    <row r="113" spans="1:6" x14ac:dyDescent="0.25">
      <c r="A113" s="23"/>
      <c r="B113" s="31"/>
      <c r="C113" s="31"/>
      <c r="D113" s="21"/>
      <c r="E113" s="21"/>
      <c r="F113" s="24"/>
    </row>
    <row r="114" spans="1:6" x14ac:dyDescent="0.25">
      <c r="A114" s="23"/>
      <c r="B114" s="31"/>
      <c r="C114" s="31"/>
      <c r="D114" s="21"/>
      <c r="E114" s="21"/>
      <c r="F114" s="24"/>
    </row>
    <row r="115" spans="1:6" x14ac:dyDescent="0.25">
      <c r="A115" s="23"/>
      <c r="B115" s="31"/>
      <c r="C115" s="31"/>
      <c r="D115" s="21"/>
      <c r="E115" s="21"/>
      <c r="F115" s="24"/>
    </row>
    <row r="116" spans="1:6" x14ac:dyDescent="0.25">
      <c r="A116" s="23"/>
      <c r="B116" s="31"/>
      <c r="C116" s="31"/>
      <c r="D116" s="21"/>
      <c r="E116" s="21"/>
      <c r="F116" s="24"/>
    </row>
    <row r="117" spans="1:6" x14ac:dyDescent="0.25">
      <c r="A117" s="23"/>
      <c r="B117" s="31"/>
      <c r="C117" s="31"/>
      <c r="D117" s="21"/>
      <c r="E117" s="21"/>
      <c r="F117" s="24"/>
    </row>
    <row r="118" spans="1:6" x14ac:dyDescent="0.25">
      <c r="A118" s="23"/>
      <c r="B118" s="31"/>
      <c r="C118" s="31"/>
      <c r="D118" s="21"/>
      <c r="E118" s="21"/>
      <c r="F118" s="24"/>
    </row>
    <row r="119" spans="1:6" x14ac:dyDescent="0.25">
      <c r="A119" s="23"/>
      <c r="B119" s="31"/>
      <c r="C119" s="31"/>
      <c r="D119" s="21"/>
      <c r="E119" s="21"/>
      <c r="F119" s="24"/>
    </row>
    <row r="120" spans="1:6" x14ac:dyDescent="0.25">
      <c r="A120" s="23"/>
      <c r="B120" s="31"/>
      <c r="C120" s="31"/>
      <c r="D120" s="21"/>
      <c r="E120" s="21"/>
      <c r="F120" s="24"/>
    </row>
    <row r="121" spans="1:6" x14ac:dyDescent="0.25">
      <c r="A121" s="23"/>
      <c r="B121" s="31"/>
      <c r="C121" s="31"/>
      <c r="D121" s="21"/>
      <c r="E121" s="21"/>
      <c r="F121" s="24"/>
    </row>
    <row r="122" spans="1:6" x14ac:dyDescent="0.25">
      <c r="A122" s="23"/>
      <c r="B122" s="31"/>
      <c r="C122" s="31"/>
      <c r="D122" s="21"/>
      <c r="E122" s="21"/>
      <c r="F122" s="24"/>
    </row>
    <row r="123" spans="1:6" x14ac:dyDescent="0.25">
      <c r="A123" s="23"/>
      <c r="B123" s="31"/>
      <c r="C123" s="31"/>
      <c r="D123" s="21"/>
      <c r="E123" s="21"/>
      <c r="F123" s="24"/>
    </row>
    <row r="124" spans="1:6" x14ac:dyDescent="0.25">
      <c r="A124" s="23"/>
      <c r="B124" s="31"/>
      <c r="C124" s="31"/>
      <c r="D124" s="21"/>
      <c r="E124" s="21"/>
      <c r="F124" s="24"/>
    </row>
    <row r="125" spans="1:6" x14ac:dyDescent="0.25">
      <c r="A125" s="23"/>
      <c r="B125" s="31"/>
      <c r="C125" s="31"/>
      <c r="D125" s="21"/>
      <c r="E125" s="21"/>
      <c r="F125" s="24"/>
    </row>
    <row r="126" spans="1:6" x14ac:dyDescent="0.25">
      <c r="A126" s="23"/>
      <c r="B126" s="31"/>
      <c r="C126" s="31"/>
      <c r="D126" s="21"/>
      <c r="E126" s="21"/>
      <c r="F126" s="24"/>
    </row>
    <row r="127" spans="1:6" x14ac:dyDescent="0.25">
      <c r="A127" s="23"/>
      <c r="B127" s="31"/>
      <c r="C127" s="31"/>
      <c r="D127" s="21"/>
      <c r="E127" s="21"/>
      <c r="F127" s="24"/>
    </row>
    <row r="128" spans="1:6" x14ac:dyDescent="0.25">
      <c r="A128" s="23"/>
      <c r="B128" s="31"/>
      <c r="C128" s="31"/>
      <c r="D128" s="21"/>
      <c r="E128" s="21"/>
      <c r="F128" s="24"/>
    </row>
    <row r="129" spans="1:6" x14ac:dyDescent="0.25">
      <c r="A129" s="23"/>
      <c r="B129" s="31"/>
      <c r="C129" s="31"/>
      <c r="D129" s="21"/>
      <c r="E129" s="21"/>
      <c r="F129" s="24"/>
    </row>
    <row r="130" spans="1:6" x14ac:dyDescent="0.25">
      <c r="A130" s="23"/>
      <c r="B130" s="31"/>
      <c r="C130" s="31"/>
      <c r="D130" s="21"/>
      <c r="E130" s="21"/>
      <c r="F130" s="24"/>
    </row>
    <row r="131" spans="1:6" x14ac:dyDescent="0.25">
      <c r="A131" s="23"/>
      <c r="B131" s="31"/>
      <c r="C131" s="31"/>
      <c r="D131" s="21"/>
      <c r="E131" s="21"/>
      <c r="F131" s="24"/>
    </row>
    <row r="132" spans="1:6" x14ac:dyDescent="0.25">
      <c r="A132" s="23"/>
      <c r="B132" s="31"/>
      <c r="C132" s="31"/>
      <c r="D132" s="21"/>
      <c r="E132" s="21"/>
      <c r="F132" s="24"/>
    </row>
    <row r="133" spans="1:6" x14ac:dyDescent="0.25">
      <c r="A133" s="23"/>
      <c r="B133" s="31"/>
      <c r="C133" s="31"/>
      <c r="D133" s="21"/>
      <c r="E133" s="21"/>
      <c r="F133" s="24"/>
    </row>
    <row r="134" spans="1:6" x14ac:dyDescent="0.25">
      <c r="A134" s="23"/>
      <c r="B134" s="31"/>
      <c r="C134" s="31"/>
      <c r="D134" s="21"/>
      <c r="E134" s="21"/>
      <c r="F134" s="24"/>
    </row>
    <row r="135" spans="1:6" x14ac:dyDescent="0.25">
      <c r="A135" s="23"/>
      <c r="B135" s="31"/>
      <c r="C135" s="31"/>
      <c r="D135" s="21"/>
      <c r="E135" s="21"/>
      <c r="F135" s="24"/>
    </row>
    <row r="136" spans="1:6" x14ac:dyDescent="0.25">
      <c r="A136" s="23"/>
      <c r="B136" s="31"/>
      <c r="C136" s="31"/>
      <c r="D136" s="21"/>
      <c r="E136" s="21"/>
      <c r="F136" s="24"/>
    </row>
    <row r="137" spans="1:6" x14ac:dyDescent="0.25">
      <c r="A137" s="23"/>
      <c r="B137" s="31"/>
      <c r="C137" s="31"/>
      <c r="D137" s="21"/>
      <c r="E137" s="21"/>
      <c r="F137" s="24"/>
    </row>
    <row r="138" spans="1:6" x14ac:dyDescent="0.25">
      <c r="A138" s="23"/>
      <c r="B138" s="31"/>
      <c r="C138" s="31"/>
      <c r="D138" s="21"/>
      <c r="E138" s="21"/>
      <c r="F138" s="24"/>
    </row>
    <row r="139" spans="1:6" x14ac:dyDescent="0.25">
      <c r="A139" s="23"/>
      <c r="B139" s="31"/>
      <c r="C139" s="31"/>
      <c r="D139" s="21"/>
      <c r="E139" s="21"/>
      <c r="F139" s="24"/>
    </row>
    <row r="140" spans="1:6" x14ac:dyDescent="0.25">
      <c r="A140" s="23"/>
      <c r="B140" s="31"/>
      <c r="C140" s="31"/>
      <c r="D140" s="21"/>
      <c r="E140" s="21"/>
      <c r="F140" s="24"/>
    </row>
    <row r="141" spans="1:6" x14ac:dyDescent="0.25">
      <c r="A141" s="23"/>
      <c r="B141" s="31"/>
      <c r="C141" s="31"/>
      <c r="D141" s="21"/>
      <c r="E141" s="21"/>
      <c r="F141" s="24"/>
    </row>
  </sheetData>
  <mergeCells count="112"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t="s">
        <v>0</v>
      </c>
      <c r="B2" s="4">
        <v>8.27</v>
      </c>
      <c r="C2" s="3">
        <v>0.90763481046449501</v>
      </c>
      <c r="D2" s="7">
        <f>B2*C2/100</f>
        <v>7.5061398825413739E-2</v>
      </c>
    </row>
    <row r="3" spans="1:4" x14ac:dyDescent="0.25">
      <c r="A3" t="s">
        <v>1</v>
      </c>
      <c r="B3" s="4">
        <v>8.11</v>
      </c>
      <c r="C3" s="3">
        <v>-1.1111111111111101</v>
      </c>
      <c r="D3" s="7">
        <f t="shared" ref="D3:D49" si="0">B3*C3/100</f>
        <v>-9.0111111111111017E-2</v>
      </c>
    </row>
    <row r="4" spans="1:4" x14ac:dyDescent="0.25">
      <c r="A4" t="s">
        <v>2</v>
      </c>
      <c r="B4" s="4">
        <v>6.92</v>
      </c>
      <c r="C4" s="3">
        <v>0.90600226500566206</v>
      </c>
      <c r="D4" s="7">
        <f t="shared" si="0"/>
        <v>6.2695356738391814E-2</v>
      </c>
    </row>
    <row r="5" spans="1:4" x14ac:dyDescent="0.25">
      <c r="A5" t="s">
        <v>3</v>
      </c>
      <c r="B5" s="4">
        <v>6.9</v>
      </c>
      <c r="C5" s="3">
        <v>3.3783783783783701</v>
      </c>
      <c r="D5" s="7">
        <f t="shared" si="0"/>
        <v>0.23310810810810753</v>
      </c>
    </row>
    <row r="6" spans="1:4" x14ac:dyDescent="0.25">
      <c r="A6" t="s">
        <v>85</v>
      </c>
      <c r="B6" s="4">
        <v>5.76</v>
      </c>
      <c r="C6" s="3">
        <v>-0.48899755501222397</v>
      </c>
      <c r="D6" s="7">
        <f t="shared" si="0"/>
        <v>-2.8166259168704098E-2</v>
      </c>
    </row>
    <row r="7" spans="1:4" x14ac:dyDescent="0.25">
      <c r="A7" t="s">
        <v>43</v>
      </c>
      <c r="B7" s="4">
        <v>4.5599999999999996</v>
      </c>
      <c r="C7" s="3">
        <v>4.0084388185654003</v>
      </c>
      <c r="D7" s="7">
        <f t="shared" si="0"/>
        <v>0.18278481012658221</v>
      </c>
    </row>
    <row r="8" spans="1:4" x14ac:dyDescent="0.25">
      <c r="A8" t="s">
        <v>55</v>
      </c>
      <c r="B8" s="26">
        <v>4.28</v>
      </c>
      <c r="C8" s="27">
        <v>-1.7628205128205101</v>
      </c>
      <c r="D8" s="7">
        <f t="shared" si="0"/>
        <v>-7.5448717948717839E-2</v>
      </c>
    </row>
    <row r="9" spans="1:4" x14ac:dyDescent="0.25">
      <c r="A9" t="s">
        <v>6</v>
      </c>
      <c r="B9" s="4">
        <v>4.21</v>
      </c>
      <c r="C9" s="3">
        <v>2.29970326409495</v>
      </c>
      <c r="D9" s="7">
        <f t="shared" si="0"/>
        <v>9.6817507418397397E-2</v>
      </c>
    </row>
    <row r="10" spans="1:4" x14ac:dyDescent="0.25">
      <c r="A10" t="s">
        <v>5</v>
      </c>
      <c r="B10" s="4">
        <v>4.08</v>
      </c>
      <c r="C10" s="3">
        <v>0.69033530571992097</v>
      </c>
      <c r="D10" s="7">
        <f t="shared" si="0"/>
        <v>2.8165680473372774E-2</v>
      </c>
    </row>
    <row r="11" spans="1:4" x14ac:dyDescent="0.25">
      <c r="A11" t="s">
        <v>44</v>
      </c>
      <c r="B11" s="4">
        <v>2.88</v>
      </c>
      <c r="C11" s="3">
        <v>4.1157556270096398</v>
      </c>
      <c r="D11" s="7">
        <f t="shared" si="0"/>
        <v>0.11853376205787763</v>
      </c>
    </row>
    <row r="12" spans="1:4" x14ac:dyDescent="0.25">
      <c r="A12" t="s">
        <v>4</v>
      </c>
      <c r="B12" s="4">
        <v>2.62</v>
      </c>
      <c r="C12" s="28">
        <v>8.5</v>
      </c>
      <c r="D12" s="7">
        <f t="shared" si="0"/>
        <v>0.22270000000000001</v>
      </c>
    </row>
    <row r="13" spans="1:4" x14ac:dyDescent="0.25">
      <c r="A13" t="s">
        <v>7</v>
      </c>
      <c r="B13" s="26">
        <v>2.4900000000000002</v>
      </c>
      <c r="C13" s="3">
        <v>-0.29325513196480901</v>
      </c>
      <c r="D13" s="7">
        <f t="shared" si="0"/>
        <v>-7.3020527859237452E-3</v>
      </c>
    </row>
    <row r="14" spans="1:4" x14ac:dyDescent="0.25">
      <c r="A14" t="s">
        <v>95</v>
      </c>
      <c r="B14" s="26">
        <v>2.4</v>
      </c>
      <c r="C14" s="3">
        <v>-4.7619047619047601</v>
      </c>
      <c r="D14" s="7">
        <f t="shared" si="0"/>
        <v>-0.11428571428571424</v>
      </c>
    </row>
    <row r="15" spans="1:4" x14ac:dyDescent="0.25">
      <c r="A15" t="s">
        <v>21</v>
      </c>
      <c r="B15" s="26">
        <v>1.77</v>
      </c>
      <c r="C15" s="27">
        <v>-0.96061479346781897</v>
      </c>
      <c r="D15" s="7">
        <f t="shared" si="0"/>
        <v>-1.7002881844380396E-2</v>
      </c>
    </row>
    <row r="16" spans="1:4" x14ac:dyDescent="0.25">
      <c r="A16" t="s">
        <v>96</v>
      </c>
      <c r="B16" s="4">
        <v>1.76</v>
      </c>
      <c r="C16" s="3">
        <v>3.7790697674418601</v>
      </c>
      <c r="D16" s="7">
        <f t="shared" si="0"/>
        <v>6.6511627906976734E-2</v>
      </c>
    </row>
    <row r="17" spans="1:4" x14ac:dyDescent="0.25">
      <c r="A17" t="s">
        <v>52</v>
      </c>
      <c r="B17" s="4">
        <v>1.61</v>
      </c>
      <c r="C17" s="3">
        <v>2.8509951586874598</v>
      </c>
      <c r="D17" s="7">
        <f t="shared" si="0"/>
        <v>4.5901022054868103E-2</v>
      </c>
    </row>
    <row r="18" spans="1:4" x14ac:dyDescent="0.25">
      <c r="A18" t="s">
        <v>16</v>
      </c>
      <c r="B18" s="4">
        <v>1.58</v>
      </c>
      <c r="C18" s="3">
        <v>-0.24291497975708501</v>
      </c>
      <c r="D18" s="7">
        <f t="shared" si="0"/>
        <v>-3.8380566801619431E-3</v>
      </c>
    </row>
    <row r="19" spans="1:4" x14ac:dyDescent="0.25">
      <c r="A19" t="s">
        <v>31</v>
      </c>
      <c r="B19" s="4">
        <v>1.54</v>
      </c>
      <c r="C19" s="3">
        <v>0.197498354180381</v>
      </c>
      <c r="D19" s="7">
        <f t="shared" si="0"/>
        <v>3.0414746543778676E-3</v>
      </c>
    </row>
    <row r="20" spans="1:4" x14ac:dyDescent="0.25">
      <c r="A20" t="s">
        <v>57</v>
      </c>
      <c r="B20" s="4">
        <v>1.1000000000000001</v>
      </c>
      <c r="C20" s="3">
        <v>-1.38319672131147</v>
      </c>
      <c r="D20" s="7">
        <f t="shared" si="0"/>
        <v>-1.521516393442617E-2</v>
      </c>
    </row>
    <row r="21" spans="1:4" x14ac:dyDescent="0.25">
      <c r="A21" t="s">
        <v>23</v>
      </c>
      <c r="B21" s="4">
        <v>1.06</v>
      </c>
      <c r="C21" s="3">
        <v>0.62322946175637395</v>
      </c>
      <c r="D21" s="7">
        <f t="shared" si="0"/>
        <v>6.6062322946175648E-3</v>
      </c>
    </row>
    <row r="22" spans="1:4" x14ac:dyDescent="0.25">
      <c r="A22" t="s">
        <v>24</v>
      </c>
      <c r="B22" s="4">
        <v>0.99</v>
      </c>
      <c r="C22" s="3">
        <v>-1.65208940719144</v>
      </c>
      <c r="D22" s="7">
        <f t="shared" si="0"/>
        <v>-1.6355685131195258E-2</v>
      </c>
    </row>
    <row r="23" spans="1:4" x14ac:dyDescent="0.25">
      <c r="A23" t="s">
        <v>58</v>
      </c>
      <c r="B23" s="26">
        <v>0.98</v>
      </c>
      <c r="C23" s="27">
        <v>-2.57334019557385</v>
      </c>
      <c r="D23" s="7">
        <f t="shared" si="0"/>
        <v>-2.5218733916623728E-2</v>
      </c>
    </row>
    <row r="24" spans="1:4" x14ac:dyDescent="0.25">
      <c r="A24" t="s">
        <v>26</v>
      </c>
      <c r="B24" s="26">
        <v>0.98</v>
      </c>
      <c r="C24" s="27">
        <v>-1.953125</v>
      </c>
      <c r="D24" s="7">
        <f t="shared" si="0"/>
        <v>-1.9140625000000001E-2</v>
      </c>
    </row>
    <row r="25" spans="1:4" x14ac:dyDescent="0.25">
      <c r="A25" t="s">
        <v>25</v>
      </c>
      <c r="B25" s="26">
        <v>0.88</v>
      </c>
      <c r="C25" s="27">
        <v>-0.39808917197452198</v>
      </c>
      <c r="D25" s="7">
        <f t="shared" si="0"/>
        <v>-3.5031847133757937E-3</v>
      </c>
    </row>
    <row r="26" spans="1:4" x14ac:dyDescent="0.25">
      <c r="A26" t="s">
        <v>59</v>
      </c>
      <c r="B26" s="26">
        <v>0.87</v>
      </c>
      <c r="C26" s="27">
        <v>0.62893081761006298</v>
      </c>
      <c r="D26" s="7">
        <f t="shared" si="0"/>
        <v>5.471698113207548E-3</v>
      </c>
    </row>
    <row r="27" spans="1:4" x14ac:dyDescent="0.25">
      <c r="A27" t="s">
        <v>19</v>
      </c>
      <c r="B27" s="26">
        <v>0.8</v>
      </c>
      <c r="C27" s="27">
        <v>0.36337209302325502</v>
      </c>
      <c r="D27" s="7">
        <f t="shared" si="0"/>
        <v>2.90697674418604E-3</v>
      </c>
    </row>
    <row r="28" spans="1:4" x14ac:dyDescent="0.25">
      <c r="A28" t="s">
        <v>60</v>
      </c>
      <c r="B28" s="26">
        <v>0.75</v>
      </c>
      <c r="C28" s="27">
        <v>0.46403712296983701</v>
      </c>
      <c r="D28" s="7">
        <f t="shared" si="0"/>
        <v>3.4802784222737774E-3</v>
      </c>
    </row>
    <row r="29" spans="1:4" x14ac:dyDescent="0.25">
      <c r="A29" t="s">
        <v>56</v>
      </c>
      <c r="B29" s="26">
        <v>0.59</v>
      </c>
      <c r="C29" s="27">
        <v>9.9472990777338595</v>
      </c>
      <c r="D29" s="7">
        <f t="shared" si="0"/>
        <v>5.8689064558629767E-2</v>
      </c>
    </row>
    <row r="30" spans="1:4" x14ac:dyDescent="0.25">
      <c r="A30" t="s">
        <v>50</v>
      </c>
      <c r="B30" s="26">
        <v>0.55000000000000004</v>
      </c>
      <c r="C30" s="27">
        <v>-8.9605734767025005E-2</v>
      </c>
      <c r="D30" s="7">
        <f t="shared" si="0"/>
        <v>-4.9283154121863761E-4</v>
      </c>
    </row>
    <row r="31" spans="1:4" x14ac:dyDescent="0.25">
      <c r="A31" t="s">
        <v>64</v>
      </c>
      <c r="B31" s="26">
        <v>0.52</v>
      </c>
      <c r="C31" s="27">
        <v>-1.42687277051129</v>
      </c>
      <c r="D31" s="7">
        <f t="shared" si="0"/>
        <v>-7.419738406658708E-3</v>
      </c>
    </row>
    <row r="32" spans="1:4" x14ac:dyDescent="0.25">
      <c r="A32" t="s">
        <v>28</v>
      </c>
      <c r="B32" s="26">
        <v>0.5</v>
      </c>
      <c r="C32" s="27">
        <v>-1.0687022900763301</v>
      </c>
      <c r="D32" s="7">
        <f t="shared" si="0"/>
        <v>-5.3435114503816508E-3</v>
      </c>
    </row>
    <row r="33" spans="1:4" x14ac:dyDescent="0.25">
      <c r="A33" t="s">
        <v>62</v>
      </c>
      <c r="B33" s="26">
        <v>0.48</v>
      </c>
      <c r="C33" s="27">
        <v>1.0746910263299301</v>
      </c>
      <c r="D33" s="7">
        <f t="shared" si="0"/>
        <v>5.1585169263836635E-3</v>
      </c>
    </row>
    <row r="34" spans="1:4" x14ac:dyDescent="0.25">
      <c r="A34" t="s">
        <v>22</v>
      </c>
      <c r="B34" s="26">
        <v>0.47</v>
      </c>
      <c r="C34" s="27">
        <v>-3.49650349650349</v>
      </c>
      <c r="D34" s="7">
        <f t="shared" si="0"/>
        <v>-1.6433566433566402E-2</v>
      </c>
    </row>
    <row r="35" spans="1:4" x14ac:dyDescent="0.25">
      <c r="A35" t="s">
        <v>65</v>
      </c>
      <c r="B35" s="26">
        <v>0.46</v>
      </c>
      <c r="C35" s="27">
        <v>2.04204204204204</v>
      </c>
      <c r="D35" s="7">
        <f t="shared" si="0"/>
        <v>9.3933933933933837E-3</v>
      </c>
    </row>
    <row r="36" spans="1:4" x14ac:dyDescent="0.25">
      <c r="A36" t="s">
        <v>66</v>
      </c>
      <c r="B36" s="26">
        <v>0.46</v>
      </c>
      <c r="C36" s="27">
        <v>0.98522167487684698</v>
      </c>
      <c r="D36" s="7">
        <f t="shared" si="0"/>
        <v>4.5320197044334968E-3</v>
      </c>
    </row>
    <row r="37" spans="1:4" x14ac:dyDescent="0.25">
      <c r="A37" t="s">
        <v>67</v>
      </c>
      <c r="B37" s="26">
        <v>0.45</v>
      </c>
      <c r="C37" s="27">
        <v>-3.73944511459589</v>
      </c>
      <c r="D37" s="7">
        <f t="shared" si="0"/>
        <v>-1.6827503015681505E-2</v>
      </c>
    </row>
    <row r="38" spans="1:4" x14ac:dyDescent="0.25">
      <c r="A38" t="s">
        <v>68</v>
      </c>
      <c r="B38" s="26">
        <v>0.4</v>
      </c>
      <c r="C38" s="27">
        <v>-6.2695924764890207E-2</v>
      </c>
      <c r="D38" s="7">
        <f t="shared" si="0"/>
        <v>-2.5078369905956086E-4</v>
      </c>
    </row>
    <row r="39" spans="1:4" x14ac:dyDescent="0.25">
      <c r="A39" t="s">
        <v>69</v>
      </c>
      <c r="B39" s="26">
        <v>0.39</v>
      </c>
      <c r="C39" s="27">
        <v>-0.61538461538461497</v>
      </c>
      <c r="D39" s="7">
        <f t="shared" si="0"/>
        <v>-2.3999999999999985E-3</v>
      </c>
    </row>
    <row r="40" spans="1:4" x14ac:dyDescent="0.25">
      <c r="A40" t="s">
        <v>71</v>
      </c>
      <c r="B40" s="26">
        <v>0.34</v>
      </c>
      <c r="C40" s="27">
        <v>3.8713910761154802</v>
      </c>
      <c r="D40" s="7">
        <f t="shared" si="0"/>
        <v>1.3162729658792633E-2</v>
      </c>
    </row>
    <row r="41" spans="1:4" x14ac:dyDescent="0.25">
      <c r="A41" t="s">
        <v>97</v>
      </c>
      <c r="B41" s="26">
        <v>0.3</v>
      </c>
      <c r="C41" s="27">
        <v>5.4054054054053999</v>
      </c>
      <c r="D41" s="7">
        <f t="shared" si="0"/>
        <v>1.62162162162162E-2</v>
      </c>
    </row>
    <row r="42" spans="1:4" x14ac:dyDescent="0.25">
      <c r="A42" t="s">
        <v>70</v>
      </c>
      <c r="B42" s="26">
        <v>0.25</v>
      </c>
      <c r="C42" s="27">
        <v>10</v>
      </c>
      <c r="D42" s="7">
        <f t="shared" si="0"/>
        <v>2.5000000000000001E-2</v>
      </c>
    </row>
    <row r="43" spans="1:4" x14ac:dyDescent="0.25">
      <c r="A43" t="s">
        <v>9</v>
      </c>
      <c r="B43" s="26">
        <v>0.25</v>
      </c>
      <c r="C43" s="27">
        <v>-10</v>
      </c>
      <c r="D43" s="7">
        <f t="shared" si="0"/>
        <v>-2.5000000000000001E-2</v>
      </c>
    </row>
    <row r="44" spans="1:4" x14ac:dyDescent="0.25">
      <c r="A44" t="s">
        <v>98</v>
      </c>
      <c r="B44" s="26">
        <v>0.22</v>
      </c>
      <c r="C44" s="27">
        <v>1.11386138613861</v>
      </c>
      <c r="D44" s="7">
        <f t="shared" si="0"/>
        <v>2.4504950495049418E-3</v>
      </c>
    </row>
    <row r="45" spans="1:4" x14ac:dyDescent="0.25">
      <c r="A45" t="s">
        <v>99</v>
      </c>
      <c r="B45" s="26">
        <v>0.19</v>
      </c>
      <c r="C45" s="27">
        <v>9.9406528189910901</v>
      </c>
      <c r="D45" s="7">
        <f t="shared" si="0"/>
        <v>1.8887240356083069E-2</v>
      </c>
    </row>
    <row r="46" spans="1:4" x14ac:dyDescent="0.25">
      <c r="A46" t="s">
        <v>75</v>
      </c>
      <c r="B46" s="26">
        <v>0.08</v>
      </c>
      <c r="C46" s="27">
        <v>-8.3752093802344996E-2</v>
      </c>
      <c r="D46" s="7">
        <f t="shared" si="0"/>
        <v>-6.7001675041875999E-5</v>
      </c>
    </row>
    <row r="47" spans="1:4" x14ac:dyDescent="0.25">
      <c r="A47" t="s">
        <v>63</v>
      </c>
      <c r="B47" s="26">
        <v>0.01</v>
      </c>
      <c r="C47" s="27">
        <v>0.559179869524697</v>
      </c>
      <c r="D47" s="7">
        <f t="shared" si="0"/>
        <v>5.5917986952469702E-5</v>
      </c>
    </row>
    <row r="48" spans="1:4" x14ac:dyDescent="0.25">
      <c r="A48" t="s">
        <v>100</v>
      </c>
      <c r="B48" s="26">
        <v>3.34</v>
      </c>
      <c r="C48" s="27">
        <v>0.12</v>
      </c>
      <c r="D48" s="7">
        <f t="shared" si="0"/>
        <v>4.0080000000000003E-3</v>
      </c>
    </row>
    <row r="49" spans="1:6" x14ac:dyDescent="0.25">
      <c r="A49" t="s">
        <v>101</v>
      </c>
      <c r="B49" s="26">
        <v>2.5499999999999998</v>
      </c>
      <c r="C49" s="27">
        <v>0.12</v>
      </c>
      <c r="D49" s="7">
        <f t="shared" si="0"/>
        <v>3.0599999999999998E-3</v>
      </c>
    </row>
    <row r="50" spans="1:6" x14ac:dyDescent="0.25">
      <c r="A50" s="30" t="s">
        <v>53</v>
      </c>
      <c r="B50" s="5">
        <f>SUM(B2:B49)</f>
        <v>92.95</v>
      </c>
      <c r="C50" s="5"/>
      <c r="D50" s="6">
        <f>SUM(D2:D49)</f>
        <v>0.82457640504709806</v>
      </c>
    </row>
    <row r="51" spans="1:6" x14ac:dyDescent="0.25">
      <c r="A51" s="16"/>
      <c r="B51" s="5"/>
      <c r="C51" s="5"/>
      <c r="D51" s="6"/>
    </row>
    <row r="62" spans="1:6" x14ac:dyDescent="0.25">
      <c r="A62" s="5"/>
      <c r="B62" s="32"/>
      <c r="C62" s="32"/>
      <c r="D62" s="20"/>
      <c r="E62" s="5"/>
      <c r="F62" s="5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zoomScale="90" zoomScaleNormal="90" workbookViewId="0">
      <selection activeCell="E5" sqref="E5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71</v>
      </c>
      <c r="B2" s="4">
        <v>7.18</v>
      </c>
      <c r="C2" s="8">
        <v>3.8713910761154802</v>
      </c>
      <c r="D2" s="7">
        <f>B2*C2/100</f>
        <v>0.27796587926509148</v>
      </c>
    </row>
    <row r="3" spans="1:4" x14ac:dyDescent="0.25">
      <c r="A3" s="4" t="s">
        <v>1</v>
      </c>
      <c r="B3" s="4">
        <v>7.24</v>
      </c>
      <c r="C3" s="8">
        <v>-1.1111111111111101</v>
      </c>
      <c r="D3" s="7">
        <f>B3*C3/100</f>
        <v>-8.0444444444444374E-2</v>
      </c>
    </row>
    <row r="4" spans="1:4" x14ac:dyDescent="0.25">
      <c r="A4" s="4" t="s">
        <v>2</v>
      </c>
      <c r="B4" s="4">
        <v>6.71</v>
      </c>
      <c r="C4" s="8">
        <v>0.90600226500566206</v>
      </c>
      <c r="D4" s="7">
        <f t="shared" ref="D4:D30" si="0">B4*C4/100</f>
        <v>6.0792751981879924E-2</v>
      </c>
    </row>
    <row r="5" spans="1:4" x14ac:dyDescent="0.25">
      <c r="A5" s="4" t="s">
        <v>5</v>
      </c>
      <c r="B5" s="4">
        <v>5.6</v>
      </c>
      <c r="C5" s="8">
        <v>0.69033530571992097</v>
      </c>
      <c r="D5" s="7">
        <f t="shared" si="0"/>
        <v>3.8658777120315568E-2</v>
      </c>
    </row>
    <row r="6" spans="1:4" x14ac:dyDescent="0.25">
      <c r="A6" s="4" t="s">
        <v>99</v>
      </c>
      <c r="B6" s="4">
        <v>4.6900000000000004</v>
      </c>
      <c r="C6" s="8">
        <v>9.9406528189910901</v>
      </c>
      <c r="D6" s="7">
        <f t="shared" si="0"/>
        <v>0.46621661721068214</v>
      </c>
    </row>
    <row r="7" spans="1:4" x14ac:dyDescent="0.25">
      <c r="A7" s="4" t="s">
        <v>44</v>
      </c>
      <c r="B7" s="4">
        <v>4.3499999999999996</v>
      </c>
      <c r="C7" s="8">
        <v>4.1157556270096398</v>
      </c>
      <c r="D7" s="7">
        <f t="shared" si="0"/>
        <v>0.17903536977491932</v>
      </c>
    </row>
    <row r="8" spans="1:4" x14ac:dyDescent="0.25">
      <c r="A8" s="4" t="s">
        <v>4</v>
      </c>
      <c r="B8" s="4">
        <v>4.12</v>
      </c>
      <c r="C8" s="8">
        <v>8.5</v>
      </c>
      <c r="D8" s="7">
        <f t="shared" si="0"/>
        <v>0.35020000000000001</v>
      </c>
    </row>
    <row r="9" spans="1:4" x14ac:dyDescent="0.25">
      <c r="A9" s="4" t="s">
        <v>20</v>
      </c>
      <c r="B9" s="4">
        <v>3.82</v>
      </c>
      <c r="C9" s="8">
        <v>-0.44817927170868299</v>
      </c>
      <c r="D9" s="7">
        <f t="shared" si="0"/>
        <v>-1.7120448179271691E-2</v>
      </c>
    </row>
    <row r="10" spans="1:4" x14ac:dyDescent="0.25">
      <c r="A10" s="4" t="s">
        <v>16</v>
      </c>
      <c r="B10" s="4">
        <v>3.66</v>
      </c>
      <c r="C10" s="8">
        <v>-0.24291497975708501</v>
      </c>
      <c r="D10" s="7">
        <f t="shared" si="0"/>
        <v>-8.8906882591093112E-3</v>
      </c>
    </row>
    <row r="11" spans="1:4" x14ac:dyDescent="0.25">
      <c r="A11" s="4" t="s">
        <v>34</v>
      </c>
      <c r="B11" s="4">
        <v>3.65</v>
      </c>
      <c r="C11" s="8">
        <v>-0.15898251192368801</v>
      </c>
      <c r="D11" s="7">
        <f t="shared" si="0"/>
        <v>-5.8028616852146119E-3</v>
      </c>
    </row>
    <row r="12" spans="1:4" x14ac:dyDescent="0.25">
      <c r="A12" s="4" t="s">
        <v>76</v>
      </c>
      <c r="B12" s="4">
        <v>3.64</v>
      </c>
      <c r="C12" s="8">
        <v>1.4994829369183</v>
      </c>
      <c r="D12" s="7">
        <f t="shared" si="0"/>
        <v>5.4581178903826126E-2</v>
      </c>
    </row>
    <row r="13" spans="1:4" x14ac:dyDescent="0.25">
      <c r="A13" s="4" t="s">
        <v>73</v>
      </c>
      <c r="B13" s="4">
        <v>3.63</v>
      </c>
      <c r="C13" s="8">
        <v>9.9290780141843893</v>
      </c>
      <c r="D13" s="7">
        <f t="shared" si="0"/>
        <v>0.36042553191489335</v>
      </c>
    </row>
    <row r="14" spans="1:4" x14ac:dyDescent="0.25">
      <c r="A14" s="4" t="s">
        <v>77</v>
      </c>
      <c r="B14" s="4">
        <v>3.26</v>
      </c>
      <c r="C14" s="8">
        <v>-2.7366863905325398</v>
      </c>
      <c r="D14" s="7">
        <f t="shared" si="0"/>
        <v>-8.9215976331360788E-2</v>
      </c>
    </row>
    <row r="15" spans="1:4" x14ac:dyDescent="0.25">
      <c r="A15" s="4" t="s">
        <v>78</v>
      </c>
      <c r="B15" s="4">
        <v>3.13</v>
      </c>
      <c r="C15" s="8">
        <v>9.9722991689750593</v>
      </c>
      <c r="D15" s="7">
        <f t="shared" si="0"/>
        <v>0.31213296398891932</v>
      </c>
    </row>
    <row r="16" spans="1:4" x14ac:dyDescent="0.25">
      <c r="A16" s="4" t="s">
        <v>79</v>
      </c>
      <c r="B16" s="4">
        <v>3.09</v>
      </c>
      <c r="C16" s="8">
        <v>2.6973684210526301</v>
      </c>
      <c r="D16" s="7">
        <f t="shared" si="0"/>
        <v>8.3348684210526255E-2</v>
      </c>
    </row>
    <row r="17" spans="1:5" x14ac:dyDescent="0.25">
      <c r="A17" s="4" t="s">
        <v>6</v>
      </c>
      <c r="B17" s="4">
        <v>2.82</v>
      </c>
      <c r="C17" s="8">
        <v>2.29970326409495</v>
      </c>
      <c r="D17" s="7">
        <f t="shared" si="0"/>
        <v>6.4851632047477584E-2</v>
      </c>
    </row>
    <row r="18" spans="1:5" x14ac:dyDescent="0.25">
      <c r="A18" s="4" t="s">
        <v>60</v>
      </c>
      <c r="B18" s="4">
        <v>2.62</v>
      </c>
      <c r="C18" s="8">
        <v>0.46403712296983701</v>
      </c>
      <c r="D18" s="7">
        <f t="shared" si="0"/>
        <v>1.2157772621809731E-2</v>
      </c>
    </row>
    <row r="19" spans="1:5" x14ac:dyDescent="0.25">
      <c r="A19" s="4" t="s">
        <v>80</v>
      </c>
      <c r="B19" s="4">
        <v>2.44</v>
      </c>
      <c r="C19" s="8">
        <v>3.4463276836158099</v>
      </c>
      <c r="D19" s="7">
        <f t="shared" si="0"/>
        <v>8.409039548022576E-2</v>
      </c>
    </row>
    <row r="20" spans="1:5" x14ac:dyDescent="0.25">
      <c r="A20" s="4" t="s">
        <v>3</v>
      </c>
      <c r="B20" s="4">
        <v>2.4</v>
      </c>
      <c r="C20" s="8">
        <v>3.3783783783783701</v>
      </c>
      <c r="D20" s="7">
        <f t="shared" si="0"/>
        <v>8.1081081081080877E-2</v>
      </c>
    </row>
    <row r="21" spans="1:5" x14ac:dyDescent="0.25">
      <c r="A21" s="4" t="s">
        <v>81</v>
      </c>
      <c r="B21" s="4">
        <v>2.36</v>
      </c>
      <c r="C21" s="8">
        <v>0.362056480811006</v>
      </c>
      <c r="D21" s="7">
        <f t="shared" si="0"/>
        <v>8.5445329471397422E-3</v>
      </c>
    </row>
    <row r="22" spans="1:5" x14ac:dyDescent="0.25">
      <c r="A22" s="4" t="s">
        <v>8</v>
      </c>
      <c r="B22" s="4">
        <v>2.12</v>
      </c>
      <c r="C22" s="8">
        <v>1.2467191601049801</v>
      </c>
      <c r="D22" s="7">
        <f t="shared" si="0"/>
        <v>2.643044619422558E-2</v>
      </c>
    </row>
    <row r="23" spans="1:5" x14ac:dyDescent="0.25">
      <c r="A23" s="4" t="s">
        <v>74</v>
      </c>
      <c r="B23" s="4">
        <v>2.06</v>
      </c>
      <c r="C23" s="8">
        <v>-1.49466192170818</v>
      </c>
      <c r="D23" s="7">
        <f t="shared" si="0"/>
        <v>-3.079003558718851E-2</v>
      </c>
    </row>
    <row r="24" spans="1:5" x14ac:dyDescent="0.25">
      <c r="A24" s="4" t="s">
        <v>82</v>
      </c>
      <c r="B24" s="4">
        <v>1.7</v>
      </c>
      <c r="C24" s="8">
        <v>-0.952380952380952</v>
      </c>
      <c r="D24" s="7">
        <f t="shared" si="0"/>
        <v>-1.6190476190476186E-2</v>
      </c>
    </row>
    <row r="25" spans="1:5" x14ac:dyDescent="0.25">
      <c r="A25" s="4" t="s">
        <v>61</v>
      </c>
      <c r="B25" s="4">
        <v>1.59</v>
      </c>
      <c r="C25" s="8">
        <v>3.8681948424068699</v>
      </c>
      <c r="D25" s="7">
        <f t="shared" si="0"/>
        <v>6.1504297994269236E-2</v>
      </c>
    </row>
    <row r="26" spans="1:5" x14ac:dyDescent="0.25">
      <c r="A26" s="4" t="s">
        <v>102</v>
      </c>
      <c r="B26" s="4">
        <v>0.99</v>
      </c>
      <c r="C26" s="14">
        <v>2.62008733624454</v>
      </c>
      <c r="D26" s="7">
        <f t="shared" si="0"/>
        <v>2.5938864628820949E-2</v>
      </c>
    </row>
    <row r="27" spans="1:5" x14ac:dyDescent="0.25">
      <c r="A27" s="4" t="s">
        <v>55</v>
      </c>
      <c r="B27" s="4">
        <v>0.95</v>
      </c>
      <c r="C27" s="8">
        <v>-1.7628205128205101</v>
      </c>
      <c r="D27" s="7">
        <f t="shared" si="0"/>
        <v>-1.6746794871794847E-2</v>
      </c>
    </row>
    <row r="28" spans="1:5" x14ac:dyDescent="0.25">
      <c r="A28" s="4" t="s">
        <v>103</v>
      </c>
      <c r="B28" s="4">
        <v>0.91</v>
      </c>
      <c r="C28" s="8">
        <v>-3.7932930181418301</v>
      </c>
      <c r="D28" s="7">
        <f t="shared" si="0"/>
        <v>-3.4518966465090652E-2</v>
      </c>
    </row>
    <row r="29" spans="1:5" x14ac:dyDescent="0.25">
      <c r="A29" s="4" t="s">
        <v>104</v>
      </c>
      <c r="B29" s="4">
        <v>0.91</v>
      </c>
      <c r="C29" s="14">
        <v>-2.49433106575963</v>
      </c>
      <c r="D29" s="7">
        <f t="shared" si="0"/>
        <v>-2.2698412698412634E-2</v>
      </c>
      <c r="E29" s="4"/>
    </row>
    <row r="30" spans="1:5" x14ac:dyDescent="0.25">
      <c r="A30" s="4" t="s">
        <v>105</v>
      </c>
      <c r="B30" s="4">
        <v>0.05</v>
      </c>
      <c r="C30" s="8">
        <v>4.6025104602510396</v>
      </c>
      <c r="D30" s="7">
        <f t="shared" si="0"/>
        <v>2.3012552301255196E-3</v>
      </c>
      <c r="E30" s="17"/>
    </row>
    <row r="31" spans="1:5" x14ac:dyDescent="0.25">
      <c r="A31" s="16" t="s">
        <v>53</v>
      </c>
      <c r="B31" s="5">
        <f>B2+B3+B4+B5+B6+B7+B8+B9+B10+B11+B12+B13+B14+B15+B16+B17+B18+B19+B20+B21+B22+B23+B24+B25+B26+B27+B28+B29+B30</f>
        <v>91.69</v>
      </c>
      <c r="C31" s="5"/>
      <c r="D31" s="6">
        <f>D2+D3+D4+D5+D6+D7+D8+D9+D10+D11+D12+D13+D14+D15+D16+D17+D18+D19+D20+D21+D22+D23+D24+D25+D26+D27+D28+D29+D30</f>
        <v>2.2278389278838651</v>
      </c>
    </row>
    <row r="32" spans="1:5" x14ac:dyDescent="0.25">
      <c r="A32" s="5"/>
      <c r="B32" s="32"/>
      <c r="C32" s="32"/>
      <c r="D32" s="20"/>
      <c r="E32" s="5"/>
    </row>
    <row r="33" spans="1:5" x14ac:dyDescent="0.25">
      <c r="A33" s="18"/>
      <c r="B33" s="31"/>
      <c r="C33" s="31"/>
      <c r="D33" s="25"/>
      <c r="E33" s="21"/>
    </row>
    <row r="34" spans="1:5" x14ac:dyDescent="0.25">
      <c r="A34" s="18"/>
      <c r="B34" s="31"/>
      <c r="C34" s="31"/>
      <c r="D34" s="25"/>
      <c r="E34" s="22"/>
    </row>
    <row r="35" spans="1:5" x14ac:dyDescent="0.25">
      <c r="A35" s="18"/>
      <c r="B35" s="31"/>
      <c r="C35" s="31"/>
      <c r="D35" s="25"/>
      <c r="E35" s="22"/>
    </row>
    <row r="36" spans="1:5" x14ac:dyDescent="0.25">
      <c r="A36" s="18"/>
      <c r="B36" s="31"/>
      <c r="C36" s="31"/>
      <c r="D36" s="25"/>
      <c r="E36" s="22"/>
    </row>
    <row r="37" spans="1:5" x14ac:dyDescent="0.25">
      <c r="A37" s="18"/>
      <c r="B37" s="31"/>
      <c r="C37" s="31"/>
      <c r="D37" s="25"/>
      <c r="E37" s="22"/>
    </row>
    <row r="38" spans="1:5" x14ac:dyDescent="0.25">
      <c r="A38" s="18"/>
      <c r="B38" s="31"/>
      <c r="C38" s="31"/>
      <c r="D38" s="25"/>
      <c r="E38" s="22"/>
    </row>
    <row r="39" spans="1:5" x14ac:dyDescent="0.25">
      <c r="A39" s="18"/>
      <c r="B39" s="31"/>
      <c r="C39" s="31"/>
      <c r="D39" s="25"/>
      <c r="E39" s="22"/>
    </row>
    <row r="40" spans="1:5" x14ac:dyDescent="0.25">
      <c r="A40" s="18"/>
      <c r="B40" s="31"/>
      <c r="C40" s="31"/>
      <c r="D40" s="25"/>
      <c r="E40" s="22"/>
    </row>
    <row r="41" spans="1:5" x14ac:dyDescent="0.25">
      <c r="A41" s="18"/>
      <c r="B41" s="31"/>
      <c r="C41" s="31"/>
      <c r="D41" s="25"/>
      <c r="E41" s="22"/>
    </row>
    <row r="42" spans="1:5" x14ac:dyDescent="0.25">
      <c r="A42" s="18"/>
      <c r="B42" s="31"/>
      <c r="C42" s="31"/>
      <c r="D42" s="25"/>
      <c r="E42" s="22"/>
    </row>
    <row r="43" spans="1:5" x14ac:dyDescent="0.25">
      <c r="A43" s="18"/>
      <c r="B43" s="31"/>
      <c r="C43" s="31"/>
      <c r="D43" s="25"/>
      <c r="E43" s="22"/>
    </row>
    <row r="44" spans="1:5" x14ac:dyDescent="0.25">
      <c r="A44" s="18"/>
      <c r="B44" s="31"/>
      <c r="C44" s="31"/>
      <c r="D44" s="25"/>
      <c r="E44" s="22"/>
    </row>
    <row r="45" spans="1:5" x14ac:dyDescent="0.25">
      <c r="A45" s="18"/>
      <c r="B45" s="31"/>
      <c r="C45" s="31"/>
      <c r="D45" s="25"/>
      <c r="E45" s="22"/>
    </row>
    <row r="46" spans="1:5" x14ac:dyDescent="0.25">
      <c r="A46" s="18"/>
      <c r="B46" s="31"/>
      <c r="C46" s="31"/>
      <c r="D46" s="25"/>
      <c r="E46" s="22"/>
    </row>
  </sheetData>
  <mergeCells count="15">
    <mergeCell ref="B42:C42"/>
    <mergeCell ref="B43:C43"/>
    <mergeCell ref="B44:C44"/>
    <mergeCell ref="B45:C45"/>
    <mergeCell ref="B46:C46"/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2026-08-13T15:14:24Z</dcterms:modified>
</cp:coreProperties>
</file>