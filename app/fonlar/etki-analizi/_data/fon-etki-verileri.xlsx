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Projeler\hoca-ile-borsa\app\fonlar\etki-analizi\_data\"/>
    </mc:Choice>
  </mc:AlternateContent>
  <xr:revisionPtr revIDLastSave="0" documentId="13_ncr:1_{E4FBEDC3-4AB7-4174-8F30-AD19F2AB6C44}" xr6:coauthVersionLast="47" xr6:coauthVersionMax="47" xr10:uidLastSave="{00000000-0000-0000-0000-000000000000}"/>
  <bookViews>
    <workbookView xWindow="-17040" yWindow="1140" windowWidth="13275" windowHeight="18585" activeTab="2" xr2:uid="{00000000-000D-0000-FFFF-FFFF00000000}"/>
  </bookViews>
  <sheets>
    <sheet name="TLY" sheetId="1" r:id="rId1"/>
    <sheet name="PHE" sheetId="2" r:id="rId2"/>
    <sheet name="PBR" sheetId="3" r:id="rId3"/>
    <sheet name="DFI" sheetId="4" r:id="rId4"/>
    <sheet name="BMU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6" l="1"/>
  <c r="D6" i="6"/>
  <c r="D5" i="6"/>
  <c r="D4" i="6"/>
  <c r="D3" i="6"/>
  <c r="D2" i="6"/>
  <c r="D14" i="1"/>
  <c r="D13" i="1"/>
  <c r="D12" i="1"/>
  <c r="D11" i="1"/>
  <c r="D10" i="1"/>
  <c r="D9" i="1"/>
  <c r="D8" i="1"/>
  <c r="D7" i="1"/>
  <c r="D6" i="1"/>
  <c r="D5" i="1"/>
  <c r="D4" i="1"/>
  <c r="D3" i="1"/>
  <c r="D2" i="1"/>
  <c r="B16" i="1"/>
  <c r="D15" i="1"/>
  <c r="B8" i="6"/>
  <c r="D16" i="1" l="1"/>
  <c r="D8" i="6"/>
  <c r="D31" i="3"/>
  <c r="D32" i="3"/>
  <c r="D33" i="3"/>
  <c r="D34" i="3"/>
  <c r="D35" i="3"/>
  <c r="D36" i="3"/>
  <c r="B37" i="3"/>
  <c r="D41" i="2"/>
  <c r="D42" i="2"/>
  <c r="D43" i="2"/>
  <c r="B6" i="4"/>
  <c r="D2" i="4"/>
  <c r="D3" i="4"/>
  <c r="D4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B44" i="2"/>
  <c r="D5" i="4"/>
  <c r="D37" i="3" l="1"/>
  <c r="D44" i="2"/>
  <c r="D6" i="4"/>
</calcChain>
</file>

<file path=xl/sharedStrings.xml><?xml version="1.0" encoding="utf-8"?>
<sst xmlns="http://schemas.openxmlformats.org/spreadsheetml/2006/main" count="151" uniqueCount="76">
  <si>
    <t>DSTKF</t>
  </si>
  <si>
    <t>OZATD</t>
  </si>
  <si>
    <t>TERA</t>
  </si>
  <si>
    <t>PEKGY</t>
  </si>
  <si>
    <t>TRHOL</t>
  </si>
  <si>
    <t>TEHOL</t>
  </si>
  <si>
    <t>ANELE</t>
  </si>
  <si>
    <t>ALKLC</t>
  </si>
  <si>
    <t>SVGYO</t>
  </si>
  <si>
    <t>HEDEF</t>
  </si>
  <si>
    <t>ETKİ</t>
  </si>
  <si>
    <t>KAPANIŞ MARJI</t>
  </si>
  <si>
    <t>GUNDG</t>
  </si>
  <si>
    <t>KTLEV</t>
  </si>
  <si>
    <t>ODINE</t>
  </si>
  <si>
    <t>PASEU</t>
  </si>
  <si>
    <t>THYAO</t>
  </si>
  <si>
    <t>TATEN</t>
  </si>
  <si>
    <t>TRALT</t>
  </si>
  <si>
    <t>AKBNK</t>
  </si>
  <si>
    <t>YKBNK</t>
  </si>
  <si>
    <t>TCELL</t>
  </si>
  <si>
    <t>MGROS</t>
  </si>
  <si>
    <t>SAHOL</t>
  </si>
  <si>
    <t>KCHOL</t>
  </si>
  <si>
    <t>ISCTR</t>
  </si>
  <si>
    <t>BIMAS</t>
  </si>
  <si>
    <t>DAPGM</t>
  </si>
  <si>
    <t>TTKOM</t>
  </si>
  <si>
    <t>GARAN</t>
  </si>
  <si>
    <t>ENKAI</t>
  </si>
  <si>
    <t>AKSEN</t>
  </si>
  <si>
    <t>ALVES</t>
  </si>
  <si>
    <t>PGSUS</t>
  </si>
  <si>
    <t>IZFAS</t>
  </si>
  <si>
    <t>GUBRF</t>
  </si>
  <si>
    <t>SKBNK</t>
  </si>
  <si>
    <t>MPARK</t>
  </si>
  <si>
    <t>DCTTR</t>
  </si>
  <si>
    <t>BRSAN</t>
  </si>
  <si>
    <t>ANSGR</t>
  </si>
  <si>
    <t>PKZ</t>
  </si>
  <si>
    <t>PCS</t>
  </si>
  <si>
    <t>SEMBOL</t>
  </si>
  <si>
    <t>FON ORANI</t>
  </si>
  <si>
    <t>ISKPL</t>
  </si>
  <si>
    <t>LIDER</t>
  </si>
  <si>
    <t>ABG</t>
  </si>
  <si>
    <t>IEYHO</t>
  </si>
  <si>
    <t>SELEC</t>
  </si>
  <si>
    <t>MANAS</t>
  </si>
  <si>
    <t>HMV</t>
  </si>
  <si>
    <t>Yatırımcı Sayısı</t>
  </si>
  <si>
    <t>Fon Toplam Değer</t>
  </si>
  <si>
    <t>ETKİ ORANI</t>
  </si>
  <si>
    <t>BALSU</t>
  </si>
  <si>
    <t>PRY</t>
  </si>
  <si>
    <t>IZENR</t>
  </si>
  <si>
    <t>TAVHL</t>
  </si>
  <si>
    <t>MOPAS</t>
  </si>
  <si>
    <t>EREGL</t>
  </si>
  <si>
    <t>BETAE</t>
  </si>
  <si>
    <t>TRMET</t>
  </si>
  <si>
    <t>Toplam</t>
  </si>
  <si>
    <t>PNU</t>
  </si>
  <si>
    <t>PGH</t>
  </si>
  <si>
    <t>PA2</t>
  </si>
  <si>
    <t>Para Girişi/Çıkışı</t>
  </si>
  <si>
    <t>KBORU</t>
  </si>
  <si>
    <t>ARFYE</t>
  </si>
  <si>
    <t>EGEGY</t>
  </si>
  <si>
    <t>GRTHO</t>
  </si>
  <si>
    <t>ZGYO</t>
  </si>
  <si>
    <t>YEOTK</t>
  </si>
  <si>
    <t>Tarih</t>
  </si>
  <si>
    <t>MARJ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</si>
</sst>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&quot;₺&quot;#,##0.00"/>
    <numFmt numFmtId="166" formatCode="0.000"/>
    <numFmt numFmtId="167" formatCode="&quot;₺&quot;#,##0"/>
  </numFmts>
  <fonts count="6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5" fillId="0" borderId="0" xfId="0" applyNumberFormat="1" applyFont="1" applyAlignment="1">
      <alignment horizontal="center" vertical="center"/>
    </xf>
    <xf numFmtId="0" fontId="4" fillId="0" borderId="0" xfId="0" applyFont="1"/>
    <xf numFmtId="167" fontId="0" fillId="0" borderId="0" xfId="0" applyNumberFormat="1" applyAlignment="1">
      <alignment horizontal="center" vertical="center"/>
    </xf>
    <xf numFmtId="14" fontId="0" fillId="0" borderId="0" xfId="0" applyNumberFormat="1"/>
    <xf numFmtId="167" fontId="0" fillId="0" borderId="0" xfId="0" applyNumberFormat="1"/>
    <xf numFmtId="0" fontId="2" fillId="0" borderId="0" xfId="0" applyFont="1" applyAlignment="1">
      <alignment horizontal="center"/>
    </xf>
    <xf numFmtId="167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right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6"/>
  <sheetViews>
    <sheetView workbookViewId="0">
      <selection activeCell="I15" sqref="I15"/>
    </sheetView>
  </sheetViews>
  <sheetFormatPr defaultRowHeight="15" x14ac:dyDescent="0.25"/>
  <cols>
    <col min="1" max="1" width="11" customWidth="1"/>
    <col min="2" max="2" width="10" customWidth="1"/>
    <col min="3" max="3" width="14.42578125" customWidth="1"/>
    <col min="4" max="4" width="19" customWidth="1"/>
    <col min="5" max="5" width="20" customWidth="1"/>
  </cols>
  <sheetData>
    <row r="1" spans="1:4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4" x14ac:dyDescent="0.25">
      <c r="A2" s="4" t="s">
        <v>0</v>
      </c>
      <c r="B2" s="4">
        <v>22.85</v>
      </c>
      <c r="C2" s="3">
        <v>1.22699386503067</v>
      </c>
      <c r="D2" s="7">
        <f>B2*C2/100</f>
        <v>0.28036809815950808</v>
      </c>
    </row>
    <row r="3" spans="1:4" x14ac:dyDescent="0.25">
      <c r="A3" s="4" t="s">
        <v>1</v>
      </c>
      <c r="B3" s="4">
        <v>14.3</v>
      </c>
      <c r="C3" s="3">
        <v>-2.45358090185676</v>
      </c>
      <c r="D3" s="7">
        <f>B3*C3/100</f>
        <v>-0.35086206896551675</v>
      </c>
    </row>
    <row r="4" spans="1:4" x14ac:dyDescent="0.25">
      <c r="A4" s="4" t="s">
        <v>3</v>
      </c>
      <c r="B4" s="4">
        <v>7.73</v>
      </c>
      <c r="C4" s="3">
        <v>-0.81081081081080997</v>
      </c>
      <c r="D4" s="7">
        <f t="shared" ref="D4:D15" si="0">B4*C4/100</f>
        <v>-6.2675675675675613E-2</v>
      </c>
    </row>
    <row r="5" spans="1:4" x14ac:dyDescent="0.25">
      <c r="A5" s="4" t="s">
        <v>5</v>
      </c>
      <c r="B5" s="4">
        <v>7.14</v>
      </c>
      <c r="C5" s="3">
        <v>2.7904849039341202</v>
      </c>
      <c r="D5" s="7">
        <f t="shared" si="0"/>
        <v>0.19924062214089616</v>
      </c>
    </row>
    <row r="6" spans="1:4" x14ac:dyDescent="0.25">
      <c r="A6" s="4" t="s">
        <v>2</v>
      </c>
      <c r="B6" s="4">
        <v>6.63</v>
      </c>
      <c r="C6" s="3">
        <v>1.4007308160779499</v>
      </c>
      <c r="D6" s="7">
        <f t="shared" si="0"/>
        <v>9.2868453105968085E-2</v>
      </c>
    </row>
    <row r="7" spans="1:4" x14ac:dyDescent="0.25">
      <c r="A7" s="4" t="s">
        <v>4</v>
      </c>
      <c r="B7" s="4">
        <v>5.61</v>
      </c>
      <c r="C7" s="3">
        <v>9.6516276413477993</v>
      </c>
      <c r="D7" s="7">
        <f t="shared" si="0"/>
        <v>0.54145631067961153</v>
      </c>
    </row>
    <row r="8" spans="1:4" x14ac:dyDescent="0.25">
      <c r="A8" s="4" t="s">
        <v>6</v>
      </c>
      <c r="B8" s="4">
        <v>1.99</v>
      </c>
      <c r="C8" s="3">
        <v>-6.1383061383061301</v>
      </c>
      <c r="D8" s="7">
        <f t="shared" si="0"/>
        <v>-0.12215229215229199</v>
      </c>
    </row>
    <row r="9" spans="1:4" x14ac:dyDescent="0.25">
      <c r="A9" s="4" t="s">
        <v>49</v>
      </c>
      <c r="B9" s="4">
        <v>1.04</v>
      </c>
      <c r="C9" s="3">
        <v>1.4719411223551</v>
      </c>
      <c r="D9" s="7">
        <f t="shared" si="0"/>
        <v>1.5308187672493041E-2</v>
      </c>
    </row>
    <row r="10" spans="1:4" x14ac:dyDescent="0.25">
      <c r="A10" s="4" t="s">
        <v>7</v>
      </c>
      <c r="B10" s="4">
        <v>0.54</v>
      </c>
      <c r="C10" s="3">
        <v>-1.0050251256281399</v>
      </c>
      <c r="D10" s="7">
        <f t="shared" si="0"/>
        <v>-5.4271356783919559E-3</v>
      </c>
    </row>
    <row r="11" spans="1:4" x14ac:dyDescent="0.25">
      <c r="A11" s="4" t="s">
        <v>8</v>
      </c>
      <c r="B11" s="4">
        <v>0.52</v>
      </c>
      <c r="C11" s="3">
        <v>0.316455696202531</v>
      </c>
      <c r="D11" s="7">
        <f t="shared" si="0"/>
        <v>1.6455696202531615E-3</v>
      </c>
    </row>
    <row r="12" spans="1:4" x14ac:dyDescent="0.25">
      <c r="A12" s="4" t="s">
        <v>9</v>
      </c>
      <c r="B12" s="4">
        <v>0.27</v>
      </c>
      <c r="C12" s="3">
        <v>10</v>
      </c>
      <c r="D12" s="7">
        <f t="shared" si="0"/>
        <v>2.7000000000000003E-2</v>
      </c>
    </row>
    <row r="13" spans="1:4" x14ac:dyDescent="0.25">
      <c r="A13" s="4" t="s">
        <v>50</v>
      </c>
      <c r="B13" s="4">
        <v>0.14000000000000001</v>
      </c>
      <c r="C13" s="3">
        <v>-3.0107526881720399</v>
      </c>
      <c r="D13" s="7">
        <f t="shared" si="0"/>
        <v>-4.2150537634408564E-3</v>
      </c>
    </row>
    <row r="14" spans="1:4" x14ac:dyDescent="0.25">
      <c r="A14" s="4" t="s">
        <v>27</v>
      </c>
      <c r="B14" s="4">
        <v>7.0000000000000007E-2</v>
      </c>
      <c r="C14" s="3">
        <v>-1.61463939720129</v>
      </c>
      <c r="D14" s="7">
        <f t="shared" si="0"/>
        <v>-1.1302475780409031E-3</v>
      </c>
    </row>
    <row r="15" spans="1:4" x14ac:dyDescent="0.25">
      <c r="A15" s="4" t="s">
        <v>51</v>
      </c>
      <c r="B15" s="4">
        <v>1.27</v>
      </c>
      <c r="C15" s="3">
        <v>-5.88</v>
      </c>
      <c r="D15" s="7">
        <f t="shared" si="0"/>
        <v>-7.4676000000000006E-2</v>
      </c>
    </row>
    <row r="16" spans="1:4" x14ac:dyDescent="0.25">
      <c r="A16" s="16" t="s">
        <v>63</v>
      </c>
      <c r="B16" s="5">
        <f>B2+B3+B4+B5+B6+B7+B8+B9+B10+B11+B12+B13+B14+B15</f>
        <v>70.100000000000009</v>
      </c>
      <c r="C16" s="5"/>
      <c r="D16" s="6">
        <f>D2+D3+D4+D5+D6+D7+D8+D9+D10+D11+D12+D13+D14+D15</f>
        <v>0.53674876756537215</v>
      </c>
    </row>
    <row r="17" spans="1:6" x14ac:dyDescent="0.25">
      <c r="A17" s="16"/>
      <c r="B17" s="5"/>
      <c r="C17" s="5"/>
      <c r="D17" s="6"/>
    </row>
    <row r="18" spans="1:6" x14ac:dyDescent="0.25">
      <c r="A18" s="16"/>
      <c r="B18" s="5"/>
      <c r="C18" s="5"/>
      <c r="D18" s="6"/>
    </row>
    <row r="19" spans="1:6" x14ac:dyDescent="0.25">
      <c r="A19" s="16"/>
      <c r="B19" s="5"/>
      <c r="C19" s="5"/>
      <c r="D19" s="6"/>
    </row>
    <row r="20" spans="1:6" x14ac:dyDescent="0.25">
      <c r="A20" s="16"/>
      <c r="B20" s="5"/>
      <c r="C20" s="5"/>
      <c r="D20" s="6"/>
    </row>
    <row r="21" spans="1:6" x14ac:dyDescent="0.25">
      <c r="A21" s="16"/>
      <c r="B21" s="5"/>
      <c r="C21" s="5"/>
      <c r="D21" s="6"/>
    </row>
    <row r="22" spans="1:6" x14ac:dyDescent="0.25">
      <c r="A22" s="16"/>
      <c r="B22" s="5"/>
      <c r="C22" s="5"/>
      <c r="D22" s="6"/>
    </row>
    <row r="23" spans="1:6" x14ac:dyDescent="0.25">
      <c r="A23" s="16"/>
      <c r="B23" s="5"/>
      <c r="C23" s="5"/>
      <c r="D23" s="6"/>
    </row>
    <row r="24" spans="1:6" x14ac:dyDescent="0.25">
      <c r="A24" s="16"/>
      <c r="B24" s="5"/>
      <c r="C24" s="5"/>
      <c r="D24" s="6"/>
    </row>
    <row r="25" spans="1:6" x14ac:dyDescent="0.25">
      <c r="A25" s="16"/>
      <c r="B25" s="5"/>
      <c r="C25" s="5"/>
      <c r="D25" s="6"/>
    </row>
    <row r="27" spans="1:6" x14ac:dyDescent="0.25">
      <c r="C27" s="5"/>
    </row>
    <row r="28" spans="1:6" x14ac:dyDescent="0.25">
      <c r="C28" s="4"/>
      <c r="D28" s="4"/>
      <c r="E28" s="4"/>
    </row>
    <row r="29" spans="1:6" x14ac:dyDescent="0.25">
      <c r="A29" s="26"/>
      <c r="B29" s="26"/>
      <c r="C29" s="4"/>
      <c r="D29" s="4"/>
      <c r="E29" s="17"/>
    </row>
    <row r="30" spans="1:6" x14ac:dyDescent="0.25">
      <c r="A30" s="26"/>
      <c r="B30" s="26"/>
      <c r="C30" s="9"/>
      <c r="D30" s="19"/>
    </row>
    <row r="31" spans="1:6" x14ac:dyDescent="0.25">
      <c r="A31" s="5" t="s">
        <v>74</v>
      </c>
      <c r="B31" s="27" t="s">
        <v>52</v>
      </c>
      <c r="C31" s="27"/>
      <c r="D31" s="20" t="s">
        <v>53</v>
      </c>
      <c r="E31" s="5" t="s">
        <v>67</v>
      </c>
      <c r="F31" s="5" t="s">
        <v>75</v>
      </c>
    </row>
    <row r="32" spans="1:6" x14ac:dyDescent="0.25">
      <c r="A32" s="18">
        <v>46226</v>
      </c>
      <c r="B32" s="26">
        <v>98970</v>
      </c>
      <c r="C32" s="26"/>
      <c r="D32" s="25">
        <v>232874657613</v>
      </c>
      <c r="E32" s="21">
        <v>1310146537</v>
      </c>
      <c r="F32" s="24">
        <v>2.1100000000000001E-2</v>
      </c>
    </row>
    <row r="33" spans="1:6" x14ac:dyDescent="0.25">
      <c r="A33" s="18">
        <v>46227</v>
      </c>
      <c r="B33" s="26">
        <v>99051</v>
      </c>
      <c r="C33" s="26"/>
      <c r="D33" s="25">
        <v>227320292084</v>
      </c>
      <c r="E33" s="22">
        <v>-6072488957</v>
      </c>
      <c r="F33" s="24">
        <v>2.2000000000000001E-3</v>
      </c>
    </row>
    <row r="34" spans="1:6" x14ac:dyDescent="0.25">
      <c r="A34" s="18">
        <v>46230</v>
      </c>
      <c r="B34" s="26">
        <v>98455</v>
      </c>
      <c r="C34" s="26"/>
      <c r="D34" s="25">
        <v>229116006481</v>
      </c>
      <c r="E34" s="22">
        <v>291803673</v>
      </c>
      <c r="F34" s="24">
        <v>6.6E-3</v>
      </c>
    </row>
    <row r="35" spans="1:6" x14ac:dyDescent="0.25">
      <c r="A35" s="18">
        <v>46231</v>
      </c>
      <c r="B35" s="26">
        <v>98583</v>
      </c>
      <c r="C35" s="26"/>
      <c r="D35" s="25">
        <v>232227975662</v>
      </c>
      <c r="E35" s="22">
        <v>-464304680</v>
      </c>
      <c r="F35" s="24">
        <v>1.5600000000000001E-2</v>
      </c>
    </row>
    <row r="36" spans="1:6" x14ac:dyDescent="0.25">
      <c r="A36" s="18">
        <v>46232</v>
      </c>
      <c r="B36" s="26">
        <v>98915</v>
      </c>
      <c r="C36" s="26"/>
      <c r="D36" s="25">
        <v>226192717226</v>
      </c>
      <c r="E36" s="22">
        <v>-7041302653</v>
      </c>
      <c r="F36" s="24">
        <v>4.3E-3</v>
      </c>
    </row>
  </sheetData>
  <mergeCells count="8">
    <mergeCell ref="B36:C36"/>
    <mergeCell ref="A29:B29"/>
    <mergeCell ref="A30:B30"/>
    <mergeCell ref="B31:C31"/>
    <mergeCell ref="B32:C32"/>
    <mergeCell ref="B35:C35"/>
    <mergeCell ref="B34:C34"/>
    <mergeCell ref="B33:C33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DCB2-2AE4-47FF-8CDC-B26B49C81EBA}">
  <dimension ref="A1:F81"/>
  <sheetViews>
    <sheetView workbookViewId="0">
      <selection activeCell="I26" sqref="I26"/>
    </sheetView>
  </sheetViews>
  <sheetFormatPr defaultRowHeight="15" x14ac:dyDescent="0.25"/>
  <cols>
    <col min="1" max="1" width="11" customWidth="1"/>
    <col min="2" max="2" width="10.42578125" customWidth="1"/>
    <col min="3" max="3" width="11.85546875" customWidth="1"/>
    <col min="4" max="4" width="19.5703125" customWidth="1"/>
    <col min="5" max="5" width="18.42578125" customWidth="1"/>
    <col min="6" max="6" width="11.28515625" customWidth="1"/>
  </cols>
  <sheetData>
    <row r="1" spans="1:4" x14ac:dyDescent="0.25">
      <c r="A1" s="2" t="s">
        <v>43</v>
      </c>
      <c r="B1" s="2" t="s">
        <v>54</v>
      </c>
      <c r="C1" s="1" t="s">
        <v>11</v>
      </c>
      <c r="D1" s="1" t="s">
        <v>10</v>
      </c>
    </row>
    <row r="2" spans="1:4" x14ac:dyDescent="0.25">
      <c r="A2" s="4" t="s">
        <v>13</v>
      </c>
      <c r="B2" s="4">
        <v>8.92</v>
      </c>
      <c r="C2" s="14">
        <v>-0.82644628099173501</v>
      </c>
      <c r="D2" s="4">
        <f>B2*C2/100</f>
        <v>-7.371900826446276E-2</v>
      </c>
    </row>
    <row r="3" spans="1:4" x14ac:dyDescent="0.25">
      <c r="A3" s="4" t="s">
        <v>14</v>
      </c>
      <c r="B3" s="4">
        <v>8.81</v>
      </c>
      <c r="C3" s="14">
        <v>-3.4615384615384599</v>
      </c>
      <c r="D3" s="4">
        <f t="shared" ref="D3:D43" si="0">B3*C3/100</f>
        <v>-0.30496153846153834</v>
      </c>
    </row>
    <row r="4" spans="1:4" x14ac:dyDescent="0.25">
      <c r="A4" s="4" t="s">
        <v>12</v>
      </c>
      <c r="B4" s="4">
        <v>8.2799999999999994</v>
      </c>
      <c r="C4" s="14">
        <v>-9.9704267004647207</v>
      </c>
      <c r="D4" s="4">
        <f t="shared" si="0"/>
        <v>-0.82555133079847876</v>
      </c>
    </row>
    <row r="5" spans="1:4" x14ac:dyDescent="0.25">
      <c r="A5" s="4" t="s">
        <v>15</v>
      </c>
      <c r="B5" s="4">
        <v>6.17</v>
      </c>
      <c r="C5" s="14">
        <v>9.4488188976377891</v>
      </c>
      <c r="D5" s="4">
        <f t="shared" si="0"/>
        <v>0.58299212598425154</v>
      </c>
    </row>
    <row r="6" spans="1:4" x14ac:dyDescent="0.25">
      <c r="A6" s="4" t="s">
        <v>9</v>
      </c>
      <c r="B6" s="4">
        <v>4.75</v>
      </c>
      <c r="C6" s="14">
        <v>10</v>
      </c>
      <c r="D6" s="4">
        <f t="shared" si="0"/>
        <v>0.47499999999999998</v>
      </c>
    </row>
    <row r="7" spans="1:4" x14ac:dyDescent="0.25">
      <c r="A7" s="4" t="s">
        <v>16</v>
      </c>
      <c r="B7" s="4">
        <v>4.42</v>
      </c>
      <c r="C7" s="14">
        <v>-1.80250783699059</v>
      </c>
      <c r="D7" s="4">
        <f t="shared" si="0"/>
        <v>-7.9670846394984077E-2</v>
      </c>
    </row>
    <row r="8" spans="1:4" x14ac:dyDescent="0.25">
      <c r="A8" s="4" t="s">
        <v>19</v>
      </c>
      <c r="B8" s="4">
        <v>3.77</v>
      </c>
      <c r="C8" s="14">
        <v>-3.7993920972644299</v>
      </c>
      <c r="D8" s="4">
        <f t="shared" si="0"/>
        <v>-0.143237082066869</v>
      </c>
    </row>
    <row r="9" spans="1:4" x14ac:dyDescent="0.25">
      <c r="A9" s="4" t="s">
        <v>18</v>
      </c>
      <c r="B9" s="4">
        <v>3.6</v>
      </c>
      <c r="C9" s="14">
        <v>-4.9074472664657698</v>
      </c>
      <c r="D9" s="4">
        <f t="shared" si="0"/>
        <v>-0.17666810159276772</v>
      </c>
    </row>
    <row r="10" spans="1:4" x14ac:dyDescent="0.25">
      <c r="A10" s="4" t="s">
        <v>20</v>
      </c>
      <c r="B10" s="4">
        <v>3.37</v>
      </c>
      <c r="C10" s="14">
        <v>-2.74893097128894</v>
      </c>
      <c r="D10" s="4">
        <f t="shared" si="0"/>
        <v>-9.2638973732437277E-2</v>
      </c>
    </row>
    <row r="11" spans="1:4" x14ac:dyDescent="0.25">
      <c r="A11" s="4" t="s">
        <v>55</v>
      </c>
      <c r="B11" s="4">
        <v>2.68</v>
      </c>
      <c r="C11" s="14">
        <v>-5.0632911392404996</v>
      </c>
      <c r="D11" s="4">
        <f t="shared" si="0"/>
        <v>-0.13569620253164541</v>
      </c>
    </row>
    <row r="12" spans="1:4" x14ac:dyDescent="0.25">
      <c r="A12" s="4" t="s">
        <v>0</v>
      </c>
      <c r="B12" s="4">
        <v>2.58</v>
      </c>
      <c r="C12" s="14">
        <v>1.22699386503067</v>
      </c>
      <c r="D12" s="4">
        <f t="shared" si="0"/>
        <v>3.1656441717791285E-2</v>
      </c>
    </row>
    <row r="13" spans="1:4" x14ac:dyDescent="0.25">
      <c r="A13" s="4" t="s">
        <v>25</v>
      </c>
      <c r="B13" s="4">
        <v>2.4500000000000002</v>
      </c>
      <c r="C13" s="14">
        <v>-4.0561622464898601</v>
      </c>
      <c r="D13" s="4">
        <f t="shared" si="0"/>
        <v>-9.9375975039001571E-2</v>
      </c>
    </row>
    <row r="14" spans="1:4" x14ac:dyDescent="0.25">
      <c r="A14" s="4" t="s">
        <v>6</v>
      </c>
      <c r="B14" s="4">
        <v>2.0499999999999998</v>
      </c>
      <c r="C14" s="14">
        <v>-6.1383061383061301</v>
      </c>
      <c r="D14" s="4">
        <f t="shared" si="0"/>
        <v>-0.12583527583527565</v>
      </c>
    </row>
    <row r="15" spans="1:4" x14ac:dyDescent="0.25">
      <c r="A15" s="4" t="s">
        <v>17</v>
      </c>
      <c r="B15" s="4">
        <v>1.73</v>
      </c>
      <c r="C15" s="14">
        <v>-3.4749034749034702</v>
      </c>
      <c r="D15" s="4">
        <f t="shared" si="0"/>
        <v>-6.0115830115830035E-2</v>
      </c>
    </row>
    <row r="16" spans="1:4" x14ac:dyDescent="0.25">
      <c r="A16" s="4" t="s">
        <v>22</v>
      </c>
      <c r="B16" s="4">
        <v>1.64</v>
      </c>
      <c r="C16" s="14">
        <v>-0.86750788643533105</v>
      </c>
      <c r="D16" s="4">
        <f t="shared" si="0"/>
        <v>-1.4227129337539429E-2</v>
      </c>
    </row>
    <row r="17" spans="1:4" x14ac:dyDescent="0.25">
      <c r="A17" s="4" t="s">
        <v>23</v>
      </c>
      <c r="B17" s="4">
        <v>1.62</v>
      </c>
      <c r="C17" s="14">
        <v>-2.9192902117916399</v>
      </c>
      <c r="D17" s="4">
        <f t="shared" si="0"/>
        <v>-4.7292501431024571E-2</v>
      </c>
    </row>
    <row r="18" spans="1:4" x14ac:dyDescent="0.25">
      <c r="A18" s="4" t="s">
        <v>26</v>
      </c>
      <c r="B18" s="4">
        <v>1.48</v>
      </c>
      <c r="C18" s="14">
        <v>-0.77021822849807398</v>
      </c>
      <c r="D18" s="4">
        <f t="shared" si="0"/>
        <v>-1.1399229781771493E-2</v>
      </c>
    </row>
    <row r="19" spans="1:4" x14ac:dyDescent="0.25">
      <c r="A19" s="4" t="s">
        <v>21</v>
      </c>
      <c r="B19" s="4">
        <v>1.4</v>
      </c>
      <c r="C19" s="14">
        <v>-0.29498525073746301</v>
      </c>
      <c r="D19" s="4">
        <f t="shared" si="0"/>
        <v>-4.129793510324482E-3</v>
      </c>
    </row>
    <row r="20" spans="1:4" x14ac:dyDescent="0.25">
      <c r="A20" s="4" t="s">
        <v>24</v>
      </c>
      <c r="B20" s="4">
        <v>1.3</v>
      </c>
      <c r="C20" s="14">
        <v>-0.71794871794871795</v>
      </c>
      <c r="D20" s="4">
        <f t="shared" si="0"/>
        <v>-9.3333333333333341E-3</v>
      </c>
    </row>
    <row r="21" spans="1:4" x14ac:dyDescent="0.25">
      <c r="A21" s="4" t="s">
        <v>28</v>
      </c>
      <c r="B21" s="4">
        <v>1.26</v>
      </c>
      <c r="C21" s="14">
        <v>-1.53698366954851</v>
      </c>
      <c r="D21" s="4">
        <f t="shared" si="0"/>
        <v>-1.9365994236311225E-2</v>
      </c>
    </row>
    <row r="22" spans="1:4" x14ac:dyDescent="0.25">
      <c r="A22" s="4" t="s">
        <v>29</v>
      </c>
      <c r="B22" s="4">
        <v>1.2</v>
      </c>
      <c r="C22" s="14">
        <v>-0.86342229199372</v>
      </c>
      <c r="D22" s="4">
        <f t="shared" si="0"/>
        <v>-1.036106750392464E-2</v>
      </c>
    </row>
    <row r="23" spans="1:4" x14ac:dyDescent="0.25">
      <c r="A23" s="4" t="s">
        <v>3</v>
      </c>
      <c r="B23" s="4">
        <v>0.73</v>
      </c>
      <c r="C23" s="14">
        <v>-0.81081081081080997</v>
      </c>
      <c r="D23" s="4">
        <f t="shared" si="0"/>
        <v>-5.9189189189189128E-3</v>
      </c>
    </row>
    <row r="24" spans="1:4" x14ac:dyDescent="0.25">
      <c r="A24" s="4" t="s">
        <v>33</v>
      </c>
      <c r="B24" s="4">
        <v>0.71</v>
      </c>
      <c r="C24" s="14">
        <v>-3.8196618659987398</v>
      </c>
      <c r="D24" s="4">
        <f t="shared" si="0"/>
        <v>-2.7119599248591052E-2</v>
      </c>
    </row>
    <row r="25" spans="1:4" x14ac:dyDescent="0.25">
      <c r="A25" s="4" t="s">
        <v>7</v>
      </c>
      <c r="B25" s="4">
        <v>0.59</v>
      </c>
      <c r="C25" s="8">
        <v>-1.0050251256281399</v>
      </c>
      <c r="D25" s="4">
        <f t="shared" si="0"/>
        <v>-5.9296482412060257E-3</v>
      </c>
    </row>
    <row r="26" spans="1:4" x14ac:dyDescent="0.25">
      <c r="A26" s="4" t="s">
        <v>27</v>
      </c>
      <c r="B26" s="4">
        <v>0.56000000000000005</v>
      </c>
      <c r="C26" s="8">
        <v>-1.61463939720129</v>
      </c>
      <c r="D26" s="4">
        <f t="shared" si="0"/>
        <v>-9.0419806243272251E-3</v>
      </c>
    </row>
    <row r="27" spans="1:4" x14ac:dyDescent="0.25">
      <c r="A27" s="4" t="s">
        <v>39</v>
      </c>
      <c r="B27" s="4">
        <v>0.4</v>
      </c>
      <c r="C27" s="8">
        <v>-5.3003533568904597</v>
      </c>
      <c r="D27" s="4">
        <f t="shared" si="0"/>
        <v>-2.1201413427561842E-2</v>
      </c>
    </row>
    <row r="28" spans="1:4" x14ac:dyDescent="0.25">
      <c r="A28" s="4" t="s">
        <v>31</v>
      </c>
      <c r="B28" s="4">
        <v>0.39</v>
      </c>
      <c r="C28" s="8">
        <v>-9.4013096351730496</v>
      </c>
      <c r="D28" s="4">
        <f t="shared" si="0"/>
        <v>-3.6665107577174894E-2</v>
      </c>
    </row>
    <row r="29" spans="1:4" x14ac:dyDescent="0.25">
      <c r="A29" s="4" t="s">
        <v>30</v>
      </c>
      <c r="B29" s="4">
        <v>0.36</v>
      </c>
      <c r="C29" s="8">
        <v>-1.35211267605633</v>
      </c>
      <c r="D29" s="4">
        <f t="shared" si="0"/>
        <v>-4.8676056338027877E-3</v>
      </c>
    </row>
    <row r="30" spans="1:4" x14ac:dyDescent="0.25">
      <c r="A30" s="4" t="s">
        <v>34</v>
      </c>
      <c r="B30" s="4">
        <v>0.34</v>
      </c>
      <c r="C30" s="8">
        <v>-9.9790648988136699</v>
      </c>
      <c r="D30" s="4">
        <f t="shared" si="0"/>
        <v>-3.3928820655966481E-2</v>
      </c>
    </row>
    <row r="31" spans="1:4" x14ac:dyDescent="0.25">
      <c r="A31" s="4" t="s">
        <v>57</v>
      </c>
      <c r="B31" s="4">
        <v>0.34</v>
      </c>
      <c r="C31" s="8">
        <v>-5.0865800865800797</v>
      </c>
      <c r="D31" s="4">
        <f t="shared" si="0"/>
        <v>-1.7294372294372272E-2</v>
      </c>
    </row>
    <row r="32" spans="1:4" x14ac:dyDescent="0.25">
      <c r="A32" s="4" t="s">
        <v>58</v>
      </c>
      <c r="B32" s="4">
        <v>0.33</v>
      </c>
      <c r="C32" s="8">
        <v>1.39925373134328</v>
      </c>
      <c r="D32" s="4">
        <f t="shared" si="0"/>
        <v>4.6175373134328236E-3</v>
      </c>
    </row>
    <row r="33" spans="1:5" x14ac:dyDescent="0.25">
      <c r="A33" s="4" t="s">
        <v>2</v>
      </c>
      <c r="B33" s="11">
        <v>0.26</v>
      </c>
      <c r="C33" s="15">
        <v>1.4007308160779499</v>
      </c>
      <c r="D33" s="4">
        <f t="shared" si="0"/>
        <v>3.6419001218026699E-3</v>
      </c>
    </row>
    <row r="34" spans="1:5" x14ac:dyDescent="0.25">
      <c r="A34" s="4" t="s">
        <v>32</v>
      </c>
      <c r="B34" s="4">
        <v>0.18</v>
      </c>
      <c r="C34" s="8">
        <v>0</v>
      </c>
      <c r="D34" s="4">
        <f t="shared" si="0"/>
        <v>0</v>
      </c>
    </row>
    <row r="35" spans="1:5" x14ac:dyDescent="0.25">
      <c r="A35" s="4" t="s">
        <v>4</v>
      </c>
      <c r="B35" s="4">
        <v>0.12</v>
      </c>
      <c r="C35" s="8">
        <v>9.6516276413477993</v>
      </c>
      <c r="D35" s="4">
        <f t="shared" si="0"/>
        <v>1.1581953169617359E-2</v>
      </c>
    </row>
    <row r="36" spans="1:5" x14ac:dyDescent="0.25">
      <c r="A36" s="4" t="s">
        <v>59</v>
      </c>
      <c r="B36" s="4">
        <v>7.0000000000000007E-2</v>
      </c>
      <c r="C36" s="8">
        <v>-2.39520958083832</v>
      </c>
      <c r="D36" s="4">
        <f t="shared" si="0"/>
        <v>-1.6766467065868244E-3</v>
      </c>
    </row>
    <row r="37" spans="1:5" x14ac:dyDescent="0.25">
      <c r="A37" s="4" t="s">
        <v>60</v>
      </c>
      <c r="B37" s="4">
        <v>0.05</v>
      </c>
      <c r="C37" s="8">
        <v>-1.59598723210214</v>
      </c>
      <c r="D37" s="4">
        <f t="shared" si="0"/>
        <v>-7.9799361605107006E-4</v>
      </c>
    </row>
    <row r="38" spans="1:5" x14ac:dyDescent="0.25">
      <c r="A38" s="4" t="s">
        <v>61</v>
      </c>
      <c r="B38" s="4">
        <v>0.04</v>
      </c>
      <c r="C38" s="8">
        <v>-2.98321939092604</v>
      </c>
      <c r="D38" s="4">
        <f t="shared" si="0"/>
        <v>-1.1932877563704161E-3</v>
      </c>
    </row>
    <row r="39" spans="1:5" x14ac:dyDescent="0.25">
      <c r="A39" s="4" t="s">
        <v>62</v>
      </c>
      <c r="B39" s="4">
        <v>0.04</v>
      </c>
      <c r="C39" s="8">
        <v>-5.0873196659073603</v>
      </c>
      <c r="D39" s="4">
        <f t="shared" si="0"/>
        <v>-2.0349278663629442E-3</v>
      </c>
    </row>
    <row r="40" spans="1:5" x14ac:dyDescent="0.25">
      <c r="A40" s="4" t="s">
        <v>35</v>
      </c>
      <c r="B40" s="4">
        <v>0.3</v>
      </c>
      <c r="C40" s="8">
        <v>-3.8554216867469799</v>
      </c>
      <c r="D40" s="4">
        <f t="shared" si="0"/>
        <v>-1.1566265060240938E-2</v>
      </c>
    </row>
    <row r="41" spans="1:5" x14ac:dyDescent="0.25">
      <c r="A41" s="4" t="s">
        <v>41</v>
      </c>
      <c r="B41" s="4">
        <v>8.33</v>
      </c>
      <c r="C41" s="4">
        <v>0.93</v>
      </c>
      <c r="D41" s="4">
        <f t="shared" si="0"/>
        <v>7.7468999999999996E-2</v>
      </c>
    </row>
    <row r="42" spans="1:5" x14ac:dyDescent="0.25">
      <c r="A42" s="4" t="s">
        <v>42</v>
      </c>
      <c r="B42" s="4">
        <v>8.27</v>
      </c>
      <c r="C42" s="4">
        <v>-1.28</v>
      </c>
      <c r="D42" s="4">
        <f t="shared" si="0"/>
        <v>-0.10585599999999999</v>
      </c>
    </row>
    <row r="43" spans="1:5" x14ac:dyDescent="0.25">
      <c r="A43" s="4" t="s">
        <v>56</v>
      </c>
      <c r="B43" s="4">
        <v>2.56</v>
      </c>
      <c r="C43" s="4">
        <v>0.13</v>
      </c>
      <c r="D43" s="4">
        <f t="shared" si="0"/>
        <v>3.3280000000000002E-3</v>
      </c>
    </row>
    <row r="44" spans="1:5" x14ac:dyDescent="0.25">
      <c r="A44" s="12" t="s">
        <v>63</v>
      </c>
      <c r="B44" s="5">
        <f>SUM(B2:B43)</f>
        <v>98.450000000000045</v>
      </c>
      <c r="D44" s="6">
        <f>SUM(D2:D43)</f>
        <v>-1.3283848432881578</v>
      </c>
    </row>
    <row r="47" spans="1:5" x14ac:dyDescent="0.25">
      <c r="C47" s="5"/>
    </row>
    <row r="48" spans="1:5" x14ac:dyDescent="0.25">
      <c r="C48" s="4"/>
      <c r="D48" s="4"/>
      <c r="E48" s="4"/>
    </row>
    <row r="49" spans="1:6" x14ac:dyDescent="0.25">
      <c r="A49" s="26"/>
      <c r="B49" s="26"/>
      <c r="C49" s="4"/>
      <c r="D49" s="4"/>
      <c r="E49" s="17"/>
    </row>
    <row r="50" spans="1:6" x14ac:dyDescent="0.25">
      <c r="A50" s="26"/>
      <c r="B50" s="26"/>
      <c r="C50" s="9"/>
      <c r="D50" s="9"/>
    </row>
    <row r="55" spans="1:6" x14ac:dyDescent="0.25">
      <c r="A55" s="5" t="s">
        <v>74</v>
      </c>
      <c r="B55" s="27" t="s">
        <v>52</v>
      </c>
      <c r="C55" s="27"/>
      <c r="D55" s="20" t="s">
        <v>53</v>
      </c>
      <c r="E55" s="5" t="s">
        <v>67</v>
      </c>
      <c r="F55" s="5" t="s">
        <v>75</v>
      </c>
    </row>
    <row r="56" spans="1:6" x14ac:dyDescent="0.25">
      <c r="A56" s="18">
        <v>46226</v>
      </c>
      <c r="B56" s="26">
        <v>160454</v>
      </c>
      <c r="C56" s="26"/>
      <c r="D56" s="21">
        <v>74464707242</v>
      </c>
      <c r="E56" s="21">
        <v>-1765745461</v>
      </c>
      <c r="F56" s="24">
        <v>1.15E-2</v>
      </c>
    </row>
    <row r="57" spans="1:6" x14ac:dyDescent="0.25">
      <c r="A57" s="18">
        <v>46227</v>
      </c>
      <c r="B57" s="26">
        <v>159246</v>
      </c>
      <c r="C57" s="26"/>
      <c r="D57" s="21">
        <v>74038207243</v>
      </c>
      <c r="E57" s="21">
        <v>-535063133</v>
      </c>
      <c r="F57" s="24">
        <v>1.5E-3</v>
      </c>
    </row>
    <row r="58" spans="1:6" x14ac:dyDescent="0.25">
      <c r="A58" s="18">
        <v>46230</v>
      </c>
      <c r="B58" s="26">
        <v>159672</v>
      </c>
      <c r="C58" s="26"/>
      <c r="D58" s="21">
        <v>74765554505</v>
      </c>
      <c r="E58" s="21">
        <v>831945602</v>
      </c>
      <c r="F58" s="24">
        <v>-1.4E-3</v>
      </c>
    </row>
    <row r="59" spans="1:6" x14ac:dyDescent="0.25">
      <c r="A59" s="18">
        <v>46231</v>
      </c>
      <c r="B59" s="26">
        <v>160788</v>
      </c>
      <c r="C59" s="26"/>
      <c r="D59" s="21">
        <v>74770957010</v>
      </c>
      <c r="E59" s="21">
        <v>-37325878</v>
      </c>
      <c r="F59" s="24">
        <v>5.9999999999999995E-4</v>
      </c>
    </row>
    <row r="60" spans="1:6" x14ac:dyDescent="0.25">
      <c r="A60" s="18">
        <v>46232</v>
      </c>
      <c r="B60" s="26">
        <v>162385</v>
      </c>
      <c r="C60" s="26"/>
      <c r="D60" s="21">
        <v>72261693709</v>
      </c>
      <c r="E60" s="21">
        <v>-2205788922</v>
      </c>
      <c r="F60" s="24">
        <v>-4.1000000000000003E-3</v>
      </c>
    </row>
    <row r="61" spans="1:6" x14ac:dyDescent="0.25">
      <c r="A61" s="18"/>
      <c r="B61" s="26"/>
      <c r="C61" s="26"/>
      <c r="D61" s="19"/>
      <c r="E61" s="22"/>
      <c r="F61" s="24"/>
    </row>
    <row r="62" spans="1:6" x14ac:dyDescent="0.25">
      <c r="A62" s="18"/>
      <c r="B62" s="26"/>
      <c r="C62" s="26"/>
      <c r="D62" s="19"/>
      <c r="E62" s="22"/>
      <c r="F62" s="24"/>
    </row>
    <row r="63" spans="1:6" x14ac:dyDescent="0.25">
      <c r="A63" s="18"/>
      <c r="B63" s="26"/>
      <c r="C63" s="26"/>
      <c r="D63" s="19"/>
      <c r="E63" s="22"/>
      <c r="F63" s="24"/>
    </row>
    <row r="64" spans="1:6" x14ac:dyDescent="0.25">
      <c r="A64" s="18"/>
      <c r="B64" s="26"/>
      <c r="C64" s="26"/>
      <c r="D64" s="19"/>
      <c r="E64" s="22"/>
      <c r="F64" s="24"/>
    </row>
    <row r="65" spans="1:6" x14ac:dyDescent="0.25">
      <c r="A65" s="18"/>
      <c r="B65" s="26"/>
      <c r="C65" s="26"/>
      <c r="D65" s="19"/>
      <c r="E65" s="22"/>
      <c r="F65" s="24"/>
    </row>
    <row r="66" spans="1:6" x14ac:dyDescent="0.25">
      <c r="A66" s="18"/>
      <c r="B66" s="26"/>
      <c r="C66" s="26"/>
      <c r="D66" s="19"/>
      <c r="E66" s="22"/>
      <c r="F66" s="24"/>
    </row>
    <row r="67" spans="1:6" x14ac:dyDescent="0.25">
      <c r="A67" s="18"/>
      <c r="B67" s="26"/>
      <c r="C67" s="26"/>
      <c r="D67" s="19"/>
      <c r="E67" s="22"/>
      <c r="F67" s="24"/>
    </row>
    <row r="68" spans="1:6" x14ac:dyDescent="0.25">
      <c r="A68" s="18"/>
      <c r="B68" s="26"/>
      <c r="C68" s="26"/>
      <c r="D68" s="19"/>
      <c r="E68" s="22"/>
      <c r="F68" s="24"/>
    </row>
    <row r="69" spans="1:6" x14ac:dyDescent="0.25">
      <c r="A69" s="18"/>
      <c r="B69" s="26"/>
      <c r="C69" s="26"/>
      <c r="D69" s="19"/>
      <c r="E69" s="22"/>
      <c r="F69" s="24"/>
    </row>
    <row r="70" spans="1:6" x14ac:dyDescent="0.25">
      <c r="A70" s="18"/>
      <c r="B70" s="26"/>
      <c r="C70" s="26"/>
      <c r="D70" s="19"/>
      <c r="E70" s="22"/>
      <c r="F70" s="24"/>
    </row>
    <row r="71" spans="1:6" x14ac:dyDescent="0.25">
      <c r="A71" s="18"/>
      <c r="B71" s="26"/>
      <c r="C71" s="26"/>
      <c r="D71" s="19"/>
      <c r="E71" s="22"/>
      <c r="F71" s="24"/>
    </row>
    <row r="72" spans="1:6" x14ac:dyDescent="0.25">
      <c r="A72" s="18"/>
      <c r="B72" s="26"/>
      <c r="C72" s="26"/>
      <c r="D72" s="19"/>
      <c r="E72" s="22"/>
      <c r="F72" s="24"/>
    </row>
    <row r="73" spans="1:6" x14ac:dyDescent="0.25">
      <c r="A73" s="18"/>
      <c r="B73" s="26"/>
      <c r="C73" s="26"/>
      <c r="D73" s="19"/>
      <c r="E73" s="22"/>
      <c r="F73" s="24"/>
    </row>
    <row r="74" spans="1:6" x14ac:dyDescent="0.25">
      <c r="A74" s="18"/>
      <c r="B74" s="26"/>
      <c r="C74" s="26"/>
      <c r="D74" s="19"/>
      <c r="E74" s="22"/>
      <c r="F74" s="24"/>
    </row>
    <row r="75" spans="1:6" x14ac:dyDescent="0.25">
      <c r="A75" s="18"/>
      <c r="B75" s="26"/>
      <c r="C75" s="26"/>
      <c r="D75" s="19"/>
      <c r="E75" s="22"/>
      <c r="F75" s="24"/>
    </row>
    <row r="76" spans="1:6" x14ac:dyDescent="0.25">
      <c r="A76" s="18"/>
      <c r="B76" s="26"/>
      <c r="C76" s="26"/>
      <c r="D76" s="19"/>
      <c r="E76" s="22"/>
      <c r="F76" s="24"/>
    </row>
    <row r="77" spans="1:6" x14ac:dyDescent="0.25">
      <c r="A77" s="18"/>
      <c r="B77" s="26"/>
      <c r="C77" s="26"/>
      <c r="D77" s="19"/>
      <c r="E77" s="22"/>
      <c r="F77" s="24"/>
    </row>
    <row r="78" spans="1:6" x14ac:dyDescent="0.25">
      <c r="A78" s="18"/>
      <c r="B78" s="26"/>
      <c r="C78" s="26"/>
      <c r="D78" s="19"/>
      <c r="E78" s="22"/>
      <c r="F78" s="24"/>
    </row>
    <row r="79" spans="1:6" x14ac:dyDescent="0.25">
      <c r="A79" s="18"/>
      <c r="B79" s="26"/>
      <c r="C79" s="26"/>
      <c r="D79" s="19"/>
      <c r="E79" s="22"/>
      <c r="F79" s="24"/>
    </row>
    <row r="80" spans="1:6" x14ac:dyDescent="0.25">
      <c r="A80" s="18"/>
      <c r="B80" s="26"/>
      <c r="C80" s="26"/>
      <c r="D80" s="19"/>
      <c r="E80" s="22"/>
      <c r="F80" s="24"/>
    </row>
    <row r="81" spans="1:6" x14ac:dyDescent="0.25">
      <c r="A81" s="18"/>
      <c r="B81" s="26"/>
      <c r="C81" s="26"/>
      <c r="D81" s="19"/>
      <c r="E81" s="22"/>
      <c r="F81" s="24"/>
    </row>
  </sheetData>
  <mergeCells count="29">
    <mergeCell ref="B57:C57"/>
    <mergeCell ref="A49:B49"/>
    <mergeCell ref="A50:B50"/>
    <mergeCell ref="B55:C55"/>
    <mergeCell ref="B56:C56"/>
    <mergeCell ref="B59:C59"/>
    <mergeCell ref="B60:C60"/>
    <mergeCell ref="B61:C61"/>
    <mergeCell ref="B62:C62"/>
    <mergeCell ref="B58:C58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8:C78"/>
    <mergeCell ref="B79:C79"/>
    <mergeCell ref="B80:C80"/>
    <mergeCell ref="B81:C81"/>
    <mergeCell ref="B73:C73"/>
    <mergeCell ref="B74:C74"/>
    <mergeCell ref="B75:C75"/>
    <mergeCell ref="B76:C76"/>
    <mergeCell ref="B77:C7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DE70-F8B5-43C2-B046-025D01A118D2}">
  <dimension ref="A1:F154"/>
  <sheetViews>
    <sheetView tabSelected="1" workbookViewId="0">
      <selection activeCell="E20" sqref="E20"/>
    </sheetView>
  </sheetViews>
  <sheetFormatPr defaultRowHeight="15" x14ac:dyDescent="0.25"/>
  <cols>
    <col min="1" max="1" width="11" customWidth="1"/>
    <col min="2" max="2" width="11.7109375" customWidth="1"/>
    <col min="3" max="3" width="15.7109375" customWidth="1"/>
    <col min="4" max="4" width="21.42578125" customWidth="1"/>
    <col min="5" max="5" width="18.7109375" customWidth="1"/>
  </cols>
  <sheetData>
    <row r="1" spans="1:4" x14ac:dyDescent="0.25">
      <c r="A1" s="2" t="s">
        <v>43</v>
      </c>
      <c r="B1" s="2" t="s">
        <v>54</v>
      </c>
      <c r="C1" s="1" t="s">
        <v>11</v>
      </c>
      <c r="D1" s="1" t="s">
        <v>10</v>
      </c>
    </row>
    <row r="2" spans="1:4" x14ac:dyDescent="0.25">
      <c r="A2" s="4" t="s">
        <v>14</v>
      </c>
      <c r="B2" s="4">
        <v>9.65</v>
      </c>
      <c r="C2" s="8">
        <v>-3.4615384615384599</v>
      </c>
      <c r="D2" s="4">
        <f>B2*C2/100</f>
        <v>-0.3340384615384614</v>
      </c>
    </row>
    <row r="3" spans="1:4" x14ac:dyDescent="0.25">
      <c r="A3" s="4" t="s">
        <v>13</v>
      </c>
      <c r="B3" s="4">
        <v>9.2899999999999991</v>
      </c>
      <c r="C3" s="8">
        <v>-0.82644628099173501</v>
      </c>
      <c r="D3" s="4">
        <f t="shared" ref="D3:D36" si="0">B3*C3/100</f>
        <v>-7.6776859504132183E-2</v>
      </c>
    </row>
    <row r="4" spans="1:4" x14ac:dyDescent="0.25">
      <c r="A4" s="4" t="s">
        <v>12</v>
      </c>
      <c r="B4" s="4">
        <v>9.24</v>
      </c>
      <c r="C4" s="8">
        <v>-9.9704267004647207</v>
      </c>
      <c r="D4" s="4">
        <f t="shared" si="0"/>
        <v>-0.92126742712294019</v>
      </c>
    </row>
    <row r="5" spans="1:4" x14ac:dyDescent="0.25">
      <c r="A5" s="4" t="s">
        <v>55</v>
      </c>
      <c r="B5" s="4">
        <v>6.09</v>
      </c>
      <c r="C5" s="8">
        <v>-5.0632911392404996</v>
      </c>
      <c r="D5" s="4">
        <f t="shared" si="0"/>
        <v>-0.30835443037974641</v>
      </c>
    </row>
    <row r="6" spans="1:4" x14ac:dyDescent="0.25">
      <c r="A6" s="4" t="s">
        <v>9</v>
      </c>
      <c r="B6" s="4">
        <v>4.7300000000000004</v>
      </c>
      <c r="C6" s="8">
        <v>10</v>
      </c>
      <c r="D6" s="4">
        <f t="shared" si="0"/>
        <v>0.47300000000000003</v>
      </c>
    </row>
    <row r="7" spans="1:4" x14ac:dyDescent="0.25">
      <c r="A7" s="4" t="s">
        <v>15</v>
      </c>
      <c r="B7" s="4">
        <v>4.5199999999999996</v>
      </c>
      <c r="C7" s="8">
        <v>9.4488188976377891</v>
      </c>
      <c r="D7" s="4">
        <f t="shared" si="0"/>
        <v>0.42708661417322802</v>
      </c>
    </row>
    <row r="8" spans="1:4" x14ac:dyDescent="0.25">
      <c r="A8" s="4" t="s">
        <v>18</v>
      </c>
      <c r="B8" s="4">
        <v>3.4</v>
      </c>
      <c r="C8" s="8">
        <v>-4.9099998474120996</v>
      </c>
      <c r="D8" s="4">
        <f t="shared" si="0"/>
        <v>-0.16693999481201138</v>
      </c>
    </row>
    <row r="9" spans="1:4" x14ac:dyDescent="0.25">
      <c r="A9" s="4" t="s">
        <v>16</v>
      </c>
      <c r="B9" s="4">
        <v>2.73</v>
      </c>
      <c r="C9" s="8">
        <v>-1.80250783699059</v>
      </c>
      <c r="D9" s="4">
        <f t="shared" si="0"/>
        <v>-4.9208463949843108E-2</v>
      </c>
    </row>
    <row r="10" spans="1:4" x14ac:dyDescent="0.25">
      <c r="A10" s="4" t="s">
        <v>6</v>
      </c>
      <c r="B10" s="4">
        <v>2.2999999999999998</v>
      </c>
      <c r="C10" s="8">
        <v>-6.1399998664855904</v>
      </c>
      <c r="D10" s="4">
        <f t="shared" si="0"/>
        <v>-0.14121999692916856</v>
      </c>
    </row>
    <row r="11" spans="1:4" x14ac:dyDescent="0.25">
      <c r="A11" s="4" t="s">
        <v>21</v>
      </c>
      <c r="B11" s="4">
        <v>1.67</v>
      </c>
      <c r="C11" s="8">
        <v>-0.29498525073746301</v>
      </c>
      <c r="D11" s="4">
        <f t="shared" si="0"/>
        <v>-4.9262536873156317E-3</v>
      </c>
    </row>
    <row r="12" spans="1:4" x14ac:dyDescent="0.25">
      <c r="A12" s="4" t="s">
        <v>17</v>
      </c>
      <c r="B12" s="4">
        <v>1.58</v>
      </c>
      <c r="C12" s="8">
        <v>-3.4749034749034702</v>
      </c>
      <c r="D12" s="4">
        <f t="shared" si="0"/>
        <v>-5.490347490347483E-2</v>
      </c>
    </row>
    <row r="13" spans="1:4" x14ac:dyDescent="0.25">
      <c r="A13" s="4" t="s">
        <v>0</v>
      </c>
      <c r="B13" s="4">
        <v>1.57</v>
      </c>
      <c r="C13" s="8">
        <v>1.22699386503067</v>
      </c>
      <c r="D13" s="4">
        <f t="shared" si="0"/>
        <v>1.9263803680981521E-2</v>
      </c>
    </row>
    <row r="14" spans="1:4" x14ac:dyDescent="0.25">
      <c r="A14" s="4" t="s">
        <v>19</v>
      </c>
      <c r="B14" s="4">
        <v>1.1299999999999999</v>
      </c>
      <c r="C14" s="8">
        <v>-3.7993920972644299</v>
      </c>
      <c r="D14" s="4">
        <f t="shared" si="0"/>
        <v>-4.2933130699088051E-2</v>
      </c>
    </row>
    <row r="15" spans="1:4" x14ac:dyDescent="0.25">
      <c r="A15" s="4" t="s">
        <v>20</v>
      </c>
      <c r="B15" s="4">
        <v>1.03</v>
      </c>
      <c r="C15" s="8">
        <v>-2.74893097128894</v>
      </c>
      <c r="D15" s="4">
        <f t="shared" si="0"/>
        <v>-2.8313989004276081E-2</v>
      </c>
    </row>
    <row r="16" spans="1:4" x14ac:dyDescent="0.25">
      <c r="A16" s="4" t="s">
        <v>22</v>
      </c>
      <c r="B16" s="4">
        <v>0.98</v>
      </c>
      <c r="C16" s="8">
        <v>-0.86750788643533105</v>
      </c>
      <c r="D16" s="4">
        <f t="shared" si="0"/>
        <v>-8.5015772870662438E-3</v>
      </c>
    </row>
    <row r="17" spans="1:4" x14ac:dyDescent="0.25">
      <c r="A17" s="4" t="s">
        <v>36</v>
      </c>
      <c r="B17" s="4">
        <v>0.87</v>
      </c>
      <c r="C17" s="8">
        <v>-9.9580712788259902</v>
      </c>
      <c r="D17" s="4">
        <f t="shared" si="0"/>
        <v>-8.6635220125786103E-2</v>
      </c>
    </row>
    <row r="18" spans="1:4" x14ac:dyDescent="0.25">
      <c r="A18" s="4" t="s">
        <v>27</v>
      </c>
      <c r="B18" s="4">
        <v>0.59</v>
      </c>
      <c r="C18" s="8">
        <v>-1.61463939720129</v>
      </c>
      <c r="D18" s="4">
        <f t="shared" si="0"/>
        <v>-9.5263724434876112E-3</v>
      </c>
    </row>
    <row r="19" spans="1:4" x14ac:dyDescent="0.25">
      <c r="A19" s="4" t="s">
        <v>60</v>
      </c>
      <c r="B19" s="4">
        <v>0.5</v>
      </c>
      <c r="C19" s="8">
        <v>-1.59598723210214</v>
      </c>
      <c r="D19" s="4">
        <f t="shared" si="0"/>
        <v>-7.9799361605107002E-3</v>
      </c>
    </row>
    <row r="20" spans="1:4" x14ac:dyDescent="0.25">
      <c r="A20" s="4" t="s">
        <v>39</v>
      </c>
      <c r="B20" s="4">
        <v>0.48</v>
      </c>
      <c r="C20" s="8">
        <v>-5.3003533568904597</v>
      </c>
      <c r="D20" s="4">
        <f t="shared" si="0"/>
        <v>-2.5441696113074203E-2</v>
      </c>
    </row>
    <row r="21" spans="1:4" x14ac:dyDescent="0.25">
      <c r="A21" s="4" t="s">
        <v>28</v>
      </c>
      <c r="B21" s="4">
        <v>0.42</v>
      </c>
      <c r="C21" s="8">
        <v>-1.53999996185302</v>
      </c>
      <c r="D21" s="4">
        <f t="shared" si="0"/>
        <v>-6.4679998397826847E-3</v>
      </c>
    </row>
    <row r="22" spans="1:4" x14ac:dyDescent="0.25">
      <c r="A22" s="4" t="s">
        <v>37</v>
      </c>
      <c r="B22" s="4">
        <v>0.4</v>
      </c>
      <c r="C22" s="8">
        <v>0.44</v>
      </c>
      <c r="D22" s="4">
        <f t="shared" si="0"/>
        <v>1.7600000000000003E-3</v>
      </c>
    </row>
    <row r="23" spans="1:4" x14ac:dyDescent="0.25">
      <c r="A23" s="4" t="s">
        <v>33</v>
      </c>
      <c r="B23" s="4">
        <v>0.38</v>
      </c>
      <c r="C23" s="8">
        <v>-3.82</v>
      </c>
      <c r="D23" s="4">
        <f t="shared" si="0"/>
        <v>-1.4515999999999999E-2</v>
      </c>
    </row>
    <row r="24" spans="1:4" x14ac:dyDescent="0.25">
      <c r="A24" s="4" t="s">
        <v>2</v>
      </c>
      <c r="B24" s="4">
        <v>0.25</v>
      </c>
      <c r="C24" s="8">
        <v>1.4007308160779499</v>
      </c>
      <c r="D24" s="4">
        <f t="shared" si="0"/>
        <v>3.5018270401948747E-3</v>
      </c>
    </row>
    <row r="25" spans="1:4" x14ac:dyDescent="0.25">
      <c r="A25" s="4" t="s">
        <v>38</v>
      </c>
      <c r="B25" s="4">
        <v>0.25</v>
      </c>
      <c r="C25" s="8">
        <v>-0.95652173913043403</v>
      </c>
      <c r="D25" s="4">
        <f t="shared" si="0"/>
        <v>-2.3913043478260851E-3</v>
      </c>
    </row>
    <row r="26" spans="1:4" x14ac:dyDescent="0.25">
      <c r="A26" s="4" t="s">
        <v>34</v>
      </c>
      <c r="B26" s="4">
        <v>0.24</v>
      </c>
      <c r="C26" s="8">
        <v>-9.98</v>
      </c>
      <c r="D26" s="4">
        <f t="shared" si="0"/>
        <v>-2.3952000000000001E-2</v>
      </c>
    </row>
    <row r="27" spans="1:4" x14ac:dyDescent="0.25">
      <c r="A27" s="4" t="s">
        <v>3</v>
      </c>
      <c r="B27" s="4">
        <v>0.23</v>
      </c>
      <c r="C27" s="8">
        <v>-0.81</v>
      </c>
      <c r="D27" s="4">
        <f t="shared" si="0"/>
        <v>-1.8630000000000003E-3</v>
      </c>
    </row>
    <row r="28" spans="1:4" x14ac:dyDescent="0.25">
      <c r="A28" s="4" t="s">
        <v>40</v>
      </c>
      <c r="B28" s="4">
        <v>0.2</v>
      </c>
      <c r="C28" s="8">
        <v>-0.66225165562913901</v>
      </c>
      <c r="D28" s="4">
        <f t="shared" si="0"/>
        <v>-1.3245033112582779E-3</v>
      </c>
    </row>
    <row r="29" spans="1:4" x14ac:dyDescent="0.25">
      <c r="A29" s="4" t="s">
        <v>61</v>
      </c>
      <c r="B29" s="13">
        <v>0.08</v>
      </c>
      <c r="C29" s="15">
        <v>-2.98321939092604</v>
      </c>
      <c r="D29" s="4">
        <f t="shared" si="0"/>
        <v>-2.3865755127408322E-3</v>
      </c>
    </row>
    <row r="30" spans="1:4" x14ac:dyDescent="0.25">
      <c r="A30" s="4" t="s">
        <v>59</v>
      </c>
      <c r="B30" s="4">
        <v>0.01</v>
      </c>
      <c r="C30" s="8">
        <v>-2.39520958083832</v>
      </c>
      <c r="D30" s="4">
        <f t="shared" si="0"/>
        <v>-2.3952095808383201E-4</v>
      </c>
    </row>
    <row r="31" spans="1:4" x14ac:dyDescent="0.25">
      <c r="A31" s="4" t="s">
        <v>41</v>
      </c>
      <c r="B31" s="4">
        <v>7.99</v>
      </c>
      <c r="C31" s="4">
        <v>0.93</v>
      </c>
      <c r="D31" s="4">
        <f t="shared" si="0"/>
        <v>7.4307000000000012E-2</v>
      </c>
    </row>
    <row r="32" spans="1:4" x14ac:dyDescent="0.25">
      <c r="A32" s="4" t="s">
        <v>42</v>
      </c>
      <c r="B32" s="4">
        <v>7.7</v>
      </c>
      <c r="C32" s="4">
        <v>-1.28</v>
      </c>
      <c r="D32" s="4">
        <f t="shared" si="0"/>
        <v>-9.8559999999999995E-2</v>
      </c>
    </row>
    <row r="33" spans="1:5" x14ac:dyDescent="0.25">
      <c r="A33" s="4" t="s">
        <v>56</v>
      </c>
      <c r="B33" s="4">
        <v>2.5</v>
      </c>
      <c r="C33" s="4">
        <v>0.13</v>
      </c>
      <c r="D33" s="4">
        <f t="shared" si="0"/>
        <v>3.2500000000000003E-3</v>
      </c>
    </row>
    <row r="34" spans="1:5" x14ac:dyDescent="0.25">
      <c r="A34" s="4" t="s">
        <v>64</v>
      </c>
      <c r="B34" s="4">
        <v>0.78</v>
      </c>
      <c r="C34" s="4">
        <v>0.13</v>
      </c>
      <c r="D34" s="4">
        <f t="shared" si="0"/>
        <v>1.0140000000000001E-3</v>
      </c>
    </row>
    <row r="35" spans="1:5" x14ac:dyDescent="0.25">
      <c r="A35" s="4" t="s">
        <v>65</v>
      </c>
      <c r="B35" s="4">
        <v>0.57999999999999996</v>
      </c>
      <c r="C35" s="4">
        <v>0</v>
      </c>
      <c r="D35" s="4">
        <f t="shared" si="0"/>
        <v>0</v>
      </c>
    </row>
    <row r="36" spans="1:5" x14ac:dyDescent="0.25">
      <c r="A36" s="4" t="s">
        <v>66</v>
      </c>
      <c r="B36" s="4">
        <v>0.06</v>
      </c>
      <c r="C36" s="4">
        <v>-0.57999999999999996</v>
      </c>
      <c r="D36" s="4">
        <f t="shared" si="0"/>
        <v>-3.48E-4</v>
      </c>
    </row>
    <row r="37" spans="1:5" x14ac:dyDescent="0.25">
      <c r="A37" s="12" t="s">
        <v>63</v>
      </c>
      <c r="B37" s="5">
        <f>SUM(B2:B36)</f>
        <v>84.419999999999987</v>
      </c>
      <c r="D37" s="6">
        <f>SUM(D2:D36)</f>
        <v>-1.4158329437356698</v>
      </c>
    </row>
    <row r="42" spans="1:5" x14ac:dyDescent="0.25">
      <c r="C42" s="5"/>
    </row>
    <row r="43" spans="1:5" x14ac:dyDescent="0.25">
      <c r="C43" s="4"/>
      <c r="D43" s="4"/>
      <c r="E43" s="4"/>
    </row>
    <row r="44" spans="1:5" x14ac:dyDescent="0.25">
      <c r="A44" s="26"/>
      <c r="B44" s="26"/>
      <c r="C44" s="4"/>
      <c r="D44" s="4"/>
      <c r="E44" s="17"/>
    </row>
    <row r="45" spans="1:5" x14ac:dyDescent="0.25">
      <c r="A45" s="26"/>
      <c r="B45" s="26"/>
      <c r="C45" s="9"/>
      <c r="D45" s="9"/>
    </row>
    <row r="53" spans="1:6" x14ac:dyDescent="0.25">
      <c r="A53" s="5" t="s">
        <v>74</v>
      </c>
      <c r="B53" s="27" t="s">
        <v>52</v>
      </c>
      <c r="C53" s="27"/>
      <c r="D53" s="20" t="s">
        <v>53</v>
      </c>
      <c r="E53" s="5" t="s">
        <v>67</v>
      </c>
      <c r="F53" s="5" t="s">
        <v>75</v>
      </c>
    </row>
    <row r="54" spans="1:6" x14ac:dyDescent="0.25">
      <c r="A54" s="18">
        <v>46226</v>
      </c>
      <c r="B54" s="26">
        <v>78223</v>
      </c>
      <c r="C54" s="26"/>
      <c r="D54" s="21">
        <v>38343912280</v>
      </c>
      <c r="E54" s="22">
        <v>-656504519</v>
      </c>
      <c r="F54" s="24">
        <v>8.0999999999999996E-3</v>
      </c>
    </row>
    <row r="55" spans="1:6" x14ac:dyDescent="0.25">
      <c r="A55" s="18">
        <v>46227</v>
      </c>
      <c r="B55" s="26">
        <v>78055</v>
      </c>
      <c r="C55" s="26"/>
      <c r="D55" s="21">
        <v>38547597437</v>
      </c>
      <c r="E55" s="22">
        <v>45631782</v>
      </c>
      <c r="F55" s="24">
        <v>4.1000000000000003E-3</v>
      </c>
    </row>
    <row r="56" spans="1:6" x14ac:dyDescent="0.25">
      <c r="A56" s="18">
        <v>46230</v>
      </c>
      <c r="B56" s="26">
        <v>78840</v>
      </c>
      <c r="C56" s="26"/>
      <c r="D56" s="21">
        <v>39148877217</v>
      </c>
      <c r="E56" s="22">
        <v>706423581</v>
      </c>
      <c r="F56" s="24">
        <v>-2.7000000000000001E-3</v>
      </c>
    </row>
    <row r="57" spans="1:6" x14ac:dyDescent="0.25">
      <c r="A57" s="18">
        <v>46231</v>
      </c>
      <c r="B57" s="26">
        <v>78840</v>
      </c>
      <c r="C57" s="26"/>
      <c r="D57" s="21">
        <v>39148877217</v>
      </c>
      <c r="E57" s="22">
        <v>706423581</v>
      </c>
      <c r="F57" s="24">
        <v>5.9999999999999995E-4</v>
      </c>
    </row>
    <row r="58" spans="1:6" x14ac:dyDescent="0.25">
      <c r="A58" s="23">
        <v>46232</v>
      </c>
      <c r="B58" s="26">
        <v>80830</v>
      </c>
      <c r="C58" s="26"/>
      <c r="D58" s="21">
        <v>38188651284</v>
      </c>
      <c r="E58" s="21">
        <v>-933851594</v>
      </c>
      <c r="F58" s="24">
        <v>-4.3E-3</v>
      </c>
    </row>
    <row r="59" spans="1:6" x14ac:dyDescent="0.25">
      <c r="A59" s="18"/>
      <c r="B59" s="26"/>
      <c r="C59" s="26"/>
      <c r="D59" s="21"/>
      <c r="E59" s="22"/>
      <c r="F59" s="24"/>
    </row>
    <row r="60" spans="1:6" x14ac:dyDescent="0.25">
      <c r="A60" s="18"/>
      <c r="B60" s="26"/>
      <c r="C60" s="26"/>
      <c r="D60" s="21"/>
      <c r="E60" s="22"/>
      <c r="F60" s="24"/>
    </row>
    <row r="61" spans="1:6" x14ac:dyDescent="0.25">
      <c r="A61" s="18"/>
      <c r="B61" s="26"/>
      <c r="C61" s="26"/>
      <c r="D61" s="21"/>
      <c r="E61" s="22"/>
      <c r="F61" s="24"/>
    </row>
    <row r="62" spans="1:6" x14ac:dyDescent="0.25">
      <c r="A62" s="18"/>
      <c r="B62" s="26"/>
      <c r="C62" s="26"/>
      <c r="D62" s="21"/>
      <c r="E62" s="22"/>
      <c r="F62" s="24"/>
    </row>
    <row r="63" spans="1:6" x14ac:dyDescent="0.25">
      <c r="A63" s="18"/>
      <c r="B63" s="26"/>
      <c r="C63" s="26"/>
      <c r="D63" s="21"/>
      <c r="E63" s="22"/>
      <c r="F63" s="24"/>
    </row>
    <row r="64" spans="1:6" x14ac:dyDescent="0.25">
      <c r="A64" s="18"/>
      <c r="B64" s="26"/>
      <c r="C64" s="26"/>
      <c r="D64" s="21"/>
      <c r="E64" s="22"/>
      <c r="F64" s="24"/>
    </row>
    <row r="65" spans="1:6" x14ac:dyDescent="0.25">
      <c r="A65" s="18"/>
      <c r="B65" s="26"/>
      <c r="C65" s="26"/>
      <c r="D65" s="21"/>
      <c r="E65" s="22"/>
      <c r="F65" s="24"/>
    </row>
    <row r="66" spans="1:6" x14ac:dyDescent="0.25">
      <c r="A66" s="18"/>
      <c r="B66" s="26"/>
      <c r="C66" s="26"/>
      <c r="D66" s="21"/>
      <c r="E66" s="22"/>
      <c r="F66" s="24"/>
    </row>
    <row r="67" spans="1:6" x14ac:dyDescent="0.25">
      <c r="A67" s="18"/>
      <c r="B67" s="26"/>
      <c r="C67" s="26"/>
      <c r="D67" s="21"/>
      <c r="E67" s="22"/>
      <c r="F67" s="24"/>
    </row>
    <row r="68" spans="1:6" x14ac:dyDescent="0.25">
      <c r="A68" s="18"/>
      <c r="B68" s="26"/>
      <c r="C68" s="26"/>
      <c r="D68" s="21"/>
      <c r="E68" s="22"/>
      <c r="F68" s="24"/>
    </row>
    <row r="69" spans="1:6" x14ac:dyDescent="0.25">
      <c r="A69" s="18"/>
      <c r="B69" s="26"/>
      <c r="C69" s="26"/>
      <c r="D69" s="21"/>
      <c r="E69" s="22"/>
      <c r="F69" s="24"/>
    </row>
    <row r="70" spans="1:6" x14ac:dyDescent="0.25">
      <c r="A70" s="18"/>
      <c r="B70" s="26"/>
      <c r="C70" s="26"/>
      <c r="D70" s="21"/>
      <c r="E70" s="22"/>
      <c r="F70" s="24"/>
    </row>
    <row r="71" spans="1:6" x14ac:dyDescent="0.25">
      <c r="A71" s="18"/>
      <c r="B71" s="26"/>
      <c r="C71" s="26"/>
      <c r="D71" s="21"/>
      <c r="E71" s="22"/>
      <c r="F71" s="24"/>
    </row>
    <row r="72" spans="1:6" x14ac:dyDescent="0.25">
      <c r="A72" s="18"/>
      <c r="B72" s="26"/>
      <c r="C72" s="26"/>
      <c r="D72" s="21"/>
      <c r="E72" s="22"/>
      <c r="F72" s="24"/>
    </row>
    <row r="73" spans="1:6" x14ac:dyDescent="0.25">
      <c r="A73" s="18"/>
      <c r="B73" s="26"/>
      <c r="C73" s="26"/>
      <c r="D73" s="21"/>
      <c r="E73" s="22"/>
      <c r="F73" s="24"/>
    </row>
    <row r="74" spans="1:6" x14ac:dyDescent="0.25">
      <c r="A74" s="18"/>
      <c r="B74" s="26"/>
      <c r="C74" s="26"/>
      <c r="D74" s="21"/>
      <c r="E74" s="22"/>
      <c r="F74" s="24"/>
    </row>
    <row r="75" spans="1:6" x14ac:dyDescent="0.25">
      <c r="A75" s="18"/>
      <c r="B75" s="26"/>
      <c r="C75" s="26"/>
      <c r="D75" s="21"/>
      <c r="E75" s="22"/>
      <c r="F75" s="24"/>
    </row>
    <row r="76" spans="1:6" x14ac:dyDescent="0.25">
      <c r="A76" s="18"/>
      <c r="B76" s="26"/>
      <c r="C76" s="26"/>
      <c r="D76" s="21"/>
      <c r="E76" s="22"/>
      <c r="F76" s="24"/>
    </row>
    <row r="77" spans="1:6" x14ac:dyDescent="0.25">
      <c r="A77" s="18"/>
      <c r="B77" s="26"/>
      <c r="C77" s="26"/>
      <c r="D77" s="21"/>
      <c r="E77" s="22"/>
      <c r="F77" s="24"/>
    </row>
    <row r="78" spans="1:6" x14ac:dyDescent="0.25">
      <c r="A78" s="18"/>
      <c r="B78" s="26"/>
      <c r="C78" s="26"/>
      <c r="D78" s="21"/>
      <c r="E78" s="22"/>
      <c r="F78" s="24"/>
    </row>
    <row r="79" spans="1:6" x14ac:dyDescent="0.25">
      <c r="A79" s="18"/>
      <c r="B79" s="26"/>
      <c r="C79" s="26"/>
      <c r="D79" s="21"/>
      <c r="E79" s="22"/>
      <c r="F79" s="24"/>
    </row>
    <row r="80" spans="1:6" x14ac:dyDescent="0.25">
      <c r="A80" s="18"/>
      <c r="B80" s="26"/>
      <c r="C80" s="26"/>
      <c r="D80" s="21"/>
      <c r="E80" s="22"/>
      <c r="F80" s="24"/>
    </row>
    <row r="81" spans="1:6" x14ac:dyDescent="0.25">
      <c r="A81" s="18"/>
      <c r="B81" s="26"/>
      <c r="C81" s="26"/>
      <c r="D81" s="21"/>
      <c r="E81" s="22"/>
      <c r="F81" s="24"/>
    </row>
    <row r="82" spans="1:6" x14ac:dyDescent="0.25">
      <c r="A82" s="18"/>
      <c r="B82" s="26"/>
      <c r="C82" s="26"/>
      <c r="D82" s="21"/>
      <c r="E82" s="22"/>
      <c r="F82" s="24"/>
    </row>
    <row r="83" spans="1:6" x14ac:dyDescent="0.25">
      <c r="A83" s="18"/>
      <c r="B83" s="26"/>
      <c r="C83" s="26"/>
      <c r="D83" s="21"/>
      <c r="E83" s="22"/>
      <c r="F83" s="24"/>
    </row>
    <row r="84" spans="1:6" x14ac:dyDescent="0.25">
      <c r="A84" s="18"/>
      <c r="B84" s="26"/>
      <c r="C84" s="26"/>
      <c r="D84" s="21"/>
      <c r="E84" s="22"/>
      <c r="F84" s="24"/>
    </row>
    <row r="85" spans="1:6" x14ac:dyDescent="0.25">
      <c r="A85" s="18"/>
      <c r="B85" s="26"/>
      <c r="C85" s="26"/>
      <c r="D85" s="21"/>
      <c r="E85" s="22"/>
      <c r="F85" s="24"/>
    </row>
    <row r="86" spans="1:6" x14ac:dyDescent="0.25">
      <c r="A86" s="18"/>
      <c r="B86" s="26"/>
      <c r="C86" s="26"/>
      <c r="D86" s="21"/>
      <c r="E86" s="22"/>
      <c r="F86" s="24"/>
    </row>
    <row r="87" spans="1:6" x14ac:dyDescent="0.25">
      <c r="A87" s="18"/>
      <c r="B87" s="26"/>
      <c r="C87" s="26"/>
      <c r="D87" s="21"/>
      <c r="E87" s="22"/>
      <c r="F87" s="24"/>
    </row>
    <row r="88" spans="1:6" x14ac:dyDescent="0.25">
      <c r="A88" s="18"/>
      <c r="B88" s="26"/>
      <c r="C88" s="26"/>
      <c r="D88" s="21"/>
      <c r="E88" s="22"/>
      <c r="F88" s="24"/>
    </row>
    <row r="89" spans="1:6" x14ac:dyDescent="0.25">
      <c r="A89" s="18"/>
      <c r="B89" s="26"/>
      <c r="C89" s="26"/>
      <c r="D89" s="21"/>
      <c r="E89" s="22"/>
      <c r="F89" s="24"/>
    </row>
    <row r="90" spans="1:6" x14ac:dyDescent="0.25">
      <c r="A90" s="18"/>
      <c r="B90" s="26"/>
      <c r="C90" s="26"/>
      <c r="D90" s="21"/>
      <c r="E90" s="22"/>
      <c r="F90" s="24"/>
    </row>
    <row r="91" spans="1:6" x14ac:dyDescent="0.25">
      <c r="A91" s="18"/>
      <c r="B91" s="26"/>
      <c r="C91" s="26"/>
      <c r="D91" s="21"/>
      <c r="E91" s="22"/>
      <c r="F91" s="24"/>
    </row>
    <row r="92" spans="1:6" x14ac:dyDescent="0.25">
      <c r="A92" s="18"/>
      <c r="B92" s="26"/>
      <c r="C92" s="26"/>
      <c r="D92" s="21"/>
      <c r="E92" s="22"/>
      <c r="F92" s="24"/>
    </row>
    <row r="93" spans="1:6" x14ac:dyDescent="0.25">
      <c r="A93" s="18"/>
      <c r="B93" s="26"/>
      <c r="C93" s="26"/>
      <c r="D93" s="21"/>
      <c r="E93" s="22"/>
      <c r="F93" s="24"/>
    </row>
    <row r="94" spans="1:6" x14ac:dyDescent="0.25">
      <c r="A94" s="18"/>
      <c r="B94" s="26"/>
      <c r="C94" s="26"/>
      <c r="D94" s="21"/>
      <c r="E94" s="22"/>
      <c r="F94" s="24"/>
    </row>
    <row r="95" spans="1:6" x14ac:dyDescent="0.25">
      <c r="A95" s="18"/>
      <c r="B95" s="26"/>
      <c r="C95" s="26"/>
      <c r="D95" s="21"/>
      <c r="E95" s="22"/>
      <c r="F95" s="24"/>
    </row>
    <row r="96" spans="1:6" x14ac:dyDescent="0.25">
      <c r="A96" s="18"/>
      <c r="B96" s="26"/>
      <c r="C96" s="26"/>
      <c r="D96" s="21"/>
      <c r="E96" s="22"/>
      <c r="F96" s="24"/>
    </row>
    <row r="97" spans="1:6" x14ac:dyDescent="0.25">
      <c r="A97" s="18"/>
      <c r="B97" s="26"/>
      <c r="C97" s="26"/>
      <c r="D97" s="21"/>
      <c r="E97" s="22"/>
      <c r="F97" s="24"/>
    </row>
    <row r="98" spans="1:6" x14ac:dyDescent="0.25">
      <c r="A98" s="18"/>
      <c r="B98" s="26"/>
      <c r="C98" s="26"/>
      <c r="D98" s="21"/>
      <c r="E98" s="22"/>
      <c r="F98" s="24"/>
    </row>
    <row r="99" spans="1:6" x14ac:dyDescent="0.25">
      <c r="A99" s="18"/>
      <c r="B99" s="26"/>
      <c r="C99" s="26"/>
      <c r="D99" s="21"/>
      <c r="E99" s="22"/>
      <c r="F99" s="24"/>
    </row>
    <row r="100" spans="1:6" x14ac:dyDescent="0.25">
      <c r="A100" s="18"/>
      <c r="B100" s="26"/>
      <c r="C100" s="26"/>
      <c r="D100" s="21"/>
      <c r="E100" s="22"/>
      <c r="F100" s="24"/>
    </row>
    <row r="101" spans="1:6" x14ac:dyDescent="0.25">
      <c r="A101" s="18"/>
      <c r="B101" s="26"/>
      <c r="C101" s="26"/>
      <c r="D101" s="21"/>
      <c r="E101" s="22"/>
      <c r="F101" s="24"/>
    </row>
    <row r="102" spans="1:6" x14ac:dyDescent="0.25">
      <c r="A102" s="18"/>
      <c r="B102" s="26"/>
      <c r="C102" s="26"/>
      <c r="D102" s="21"/>
      <c r="E102" s="22"/>
      <c r="F102" s="24"/>
    </row>
    <row r="103" spans="1:6" x14ac:dyDescent="0.25">
      <c r="A103" s="18"/>
      <c r="B103" s="26"/>
      <c r="C103" s="26"/>
      <c r="D103" s="21"/>
      <c r="E103" s="22"/>
      <c r="F103" s="24"/>
    </row>
    <row r="104" spans="1:6" x14ac:dyDescent="0.25">
      <c r="A104" s="18"/>
      <c r="B104" s="26"/>
      <c r="C104" s="26"/>
      <c r="D104" s="21"/>
      <c r="E104" s="22"/>
      <c r="F104" s="24"/>
    </row>
    <row r="105" spans="1:6" x14ac:dyDescent="0.25">
      <c r="A105" s="18"/>
      <c r="B105" s="26"/>
      <c r="C105" s="26"/>
      <c r="D105" s="21"/>
      <c r="E105" s="22"/>
      <c r="F105" s="24"/>
    </row>
    <row r="106" spans="1:6" x14ac:dyDescent="0.25">
      <c r="A106" s="18"/>
      <c r="B106" s="26"/>
      <c r="C106" s="26"/>
      <c r="D106" s="21"/>
      <c r="E106" s="22"/>
      <c r="F106" s="24"/>
    </row>
    <row r="107" spans="1:6" x14ac:dyDescent="0.25">
      <c r="A107" s="18"/>
      <c r="B107" s="26"/>
      <c r="C107" s="26"/>
      <c r="D107" s="21"/>
      <c r="E107" s="22"/>
      <c r="F107" s="24"/>
    </row>
    <row r="108" spans="1:6" x14ac:dyDescent="0.25">
      <c r="A108" s="18"/>
      <c r="B108" s="26"/>
      <c r="C108" s="26"/>
      <c r="D108" s="21"/>
      <c r="E108" s="22"/>
      <c r="F108" s="24"/>
    </row>
    <row r="109" spans="1:6" x14ac:dyDescent="0.25">
      <c r="A109" s="18"/>
      <c r="B109" s="26"/>
      <c r="C109" s="26"/>
      <c r="D109" s="21"/>
      <c r="E109" s="22"/>
      <c r="F109" s="24"/>
    </row>
    <row r="110" spans="1:6" x14ac:dyDescent="0.25">
      <c r="A110" s="18"/>
      <c r="B110" s="26"/>
      <c r="C110" s="26"/>
      <c r="D110" s="21"/>
      <c r="E110" s="22"/>
      <c r="F110" s="24"/>
    </row>
    <row r="111" spans="1:6" x14ac:dyDescent="0.25">
      <c r="A111" s="18"/>
      <c r="B111" s="26"/>
      <c r="C111" s="26"/>
      <c r="D111" s="21"/>
      <c r="E111" s="22"/>
      <c r="F111" s="24"/>
    </row>
    <row r="112" spans="1:6" x14ac:dyDescent="0.25">
      <c r="A112" s="18"/>
      <c r="B112" s="26"/>
      <c r="C112" s="26"/>
      <c r="D112" s="21"/>
      <c r="E112" s="22"/>
      <c r="F112" s="24"/>
    </row>
    <row r="113" spans="1:6" x14ac:dyDescent="0.25">
      <c r="A113" s="18"/>
      <c r="B113" s="26"/>
      <c r="C113" s="26"/>
      <c r="D113" s="21"/>
      <c r="E113" s="22"/>
      <c r="F113" s="24"/>
    </row>
    <row r="114" spans="1:6" x14ac:dyDescent="0.25">
      <c r="A114" s="18"/>
      <c r="B114" s="26"/>
      <c r="C114" s="26"/>
      <c r="D114" s="21"/>
      <c r="E114" s="22"/>
      <c r="F114" s="24"/>
    </row>
    <row r="115" spans="1:6" x14ac:dyDescent="0.25">
      <c r="A115" s="18"/>
      <c r="B115" s="26"/>
      <c r="C115" s="26"/>
      <c r="D115" s="21"/>
      <c r="E115" s="22"/>
      <c r="F115" s="24"/>
    </row>
    <row r="116" spans="1:6" x14ac:dyDescent="0.25">
      <c r="A116" s="18"/>
      <c r="B116" s="26"/>
      <c r="C116" s="26"/>
      <c r="D116" s="21"/>
      <c r="E116" s="22"/>
      <c r="F116" s="24"/>
    </row>
    <row r="117" spans="1:6" x14ac:dyDescent="0.25">
      <c r="A117" s="18"/>
      <c r="B117" s="26"/>
      <c r="C117" s="26"/>
      <c r="D117" s="21"/>
      <c r="E117" s="22"/>
      <c r="F117" s="24"/>
    </row>
    <row r="118" spans="1:6" x14ac:dyDescent="0.25">
      <c r="A118" s="18"/>
      <c r="B118" s="26"/>
      <c r="C118" s="26"/>
      <c r="D118" s="21"/>
      <c r="E118" s="22"/>
      <c r="F118" s="24"/>
    </row>
    <row r="119" spans="1:6" x14ac:dyDescent="0.25">
      <c r="A119" s="18"/>
      <c r="B119" s="26"/>
      <c r="C119" s="26"/>
      <c r="D119" s="21"/>
      <c r="E119" s="22"/>
      <c r="F119" s="24"/>
    </row>
    <row r="120" spans="1:6" x14ac:dyDescent="0.25">
      <c r="A120" s="18"/>
      <c r="B120" s="26"/>
      <c r="C120" s="26"/>
      <c r="D120" s="21"/>
      <c r="E120" s="22"/>
      <c r="F120" s="24"/>
    </row>
    <row r="121" spans="1:6" x14ac:dyDescent="0.25">
      <c r="A121" s="18"/>
      <c r="B121" s="26"/>
      <c r="C121" s="26"/>
      <c r="D121" s="21"/>
      <c r="E121" s="22"/>
      <c r="F121" s="24"/>
    </row>
    <row r="122" spans="1:6" x14ac:dyDescent="0.25">
      <c r="A122" s="18"/>
      <c r="B122" s="26"/>
      <c r="C122" s="26"/>
      <c r="D122" s="21"/>
      <c r="E122" s="22"/>
      <c r="F122" s="24"/>
    </row>
    <row r="123" spans="1:6" x14ac:dyDescent="0.25">
      <c r="A123" s="18"/>
      <c r="B123" s="26"/>
      <c r="C123" s="26"/>
      <c r="D123" s="21"/>
      <c r="E123" s="22"/>
      <c r="F123" s="24"/>
    </row>
    <row r="124" spans="1:6" x14ac:dyDescent="0.25">
      <c r="A124" s="18"/>
      <c r="B124" s="26"/>
      <c r="C124" s="26"/>
      <c r="D124" s="21"/>
      <c r="E124" s="22"/>
      <c r="F124" s="24"/>
    </row>
    <row r="125" spans="1:6" x14ac:dyDescent="0.25">
      <c r="A125" s="18"/>
      <c r="B125" s="26"/>
      <c r="C125" s="26"/>
      <c r="D125" s="21"/>
      <c r="E125" s="22"/>
      <c r="F125" s="24"/>
    </row>
    <row r="126" spans="1:6" x14ac:dyDescent="0.25">
      <c r="A126" s="18"/>
      <c r="B126" s="26"/>
      <c r="C126" s="26"/>
      <c r="D126" s="21"/>
      <c r="E126" s="22"/>
      <c r="F126" s="24"/>
    </row>
    <row r="127" spans="1:6" x14ac:dyDescent="0.25">
      <c r="A127" s="18"/>
      <c r="B127" s="26"/>
      <c r="C127" s="26"/>
      <c r="D127" s="21"/>
      <c r="E127" s="22"/>
      <c r="F127" s="24"/>
    </row>
    <row r="128" spans="1:6" x14ac:dyDescent="0.25">
      <c r="A128" s="18"/>
      <c r="B128" s="26"/>
      <c r="C128" s="26"/>
      <c r="D128" s="21"/>
      <c r="E128" s="22"/>
      <c r="F128" s="24"/>
    </row>
    <row r="129" spans="1:6" x14ac:dyDescent="0.25">
      <c r="A129" s="18"/>
      <c r="B129" s="26"/>
      <c r="C129" s="26"/>
      <c r="D129" s="21"/>
      <c r="E129" s="22"/>
      <c r="F129" s="24"/>
    </row>
    <row r="130" spans="1:6" x14ac:dyDescent="0.25">
      <c r="A130" s="18"/>
      <c r="B130" s="26"/>
      <c r="C130" s="26"/>
      <c r="D130" s="21"/>
      <c r="E130" s="22"/>
      <c r="F130" s="24"/>
    </row>
    <row r="131" spans="1:6" x14ac:dyDescent="0.25">
      <c r="A131" s="18"/>
      <c r="B131" s="26"/>
      <c r="C131" s="26"/>
      <c r="D131" s="21"/>
      <c r="E131" s="22"/>
      <c r="F131" s="24"/>
    </row>
    <row r="132" spans="1:6" x14ac:dyDescent="0.25">
      <c r="A132" s="18"/>
      <c r="B132" s="26"/>
      <c r="C132" s="26"/>
      <c r="D132" s="21"/>
      <c r="E132" s="22"/>
      <c r="F132" s="24"/>
    </row>
    <row r="133" spans="1:6" x14ac:dyDescent="0.25">
      <c r="A133" s="18"/>
      <c r="B133" s="26"/>
      <c r="C133" s="26"/>
      <c r="D133" s="21"/>
      <c r="E133" s="22"/>
      <c r="F133" s="24"/>
    </row>
    <row r="134" spans="1:6" x14ac:dyDescent="0.25">
      <c r="A134" s="18"/>
      <c r="B134" s="26"/>
      <c r="C134" s="26"/>
      <c r="D134" s="21"/>
      <c r="E134" s="22"/>
      <c r="F134" s="24"/>
    </row>
    <row r="135" spans="1:6" x14ac:dyDescent="0.25">
      <c r="A135" s="18"/>
      <c r="B135" s="26"/>
      <c r="C135" s="26"/>
      <c r="D135" s="21"/>
      <c r="E135" s="22"/>
      <c r="F135" s="24"/>
    </row>
    <row r="136" spans="1:6" x14ac:dyDescent="0.25">
      <c r="A136" s="18"/>
      <c r="B136" s="26"/>
      <c r="C136" s="26"/>
      <c r="D136" s="21"/>
      <c r="E136" s="22"/>
      <c r="F136" s="24"/>
    </row>
    <row r="137" spans="1:6" x14ac:dyDescent="0.25">
      <c r="A137" s="18"/>
      <c r="B137" s="26"/>
      <c r="C137" s="26"/>
      <c r="D137" s="21"/>
      <c r="E137" s="22"/>
      <c r="F137" s="24"/>
    </row>
    <row r="138" spans="1:6" x14ac:dyDescent="0.25">
      <c r="A138" s="18"/>
      <c r="B138" s="26"/>
      <c r="C138" s="26"/>
      <c r="D138" s="21"/>
      <c r="E138" s="22"/>
      <c r="F138" s="24"/>
    </row>
    <row r="139" spans="1:6" x14ac:dyDescent="0.25">
      <c r="A139" s="18"/>
      <c r="B139" s="26"/>
      <c r="C139" s="26"/>
      <c r="D139" s="21"/>
      <c r="E139" s="22"/>
      <c r="F139" s="24"/>
    </row>
    <row r="140" spans="1:6" x14ac:dyDescent="0.25">
      <c r="A140" s="18"/>
      <c r="B140" s="26"/>
      <c r="C140" s="26"/>
      <c r="D140" s="21"/>
      <c r="E140" s="22"/>
      <c r="F140" s="24"/>
    </row>
    <row r="141" spans="1:6" x14ac:dyDescent="0.25">
      <c r="A141" s="18"/>
      <c r="B141" s="26"/>
      <c r="C141" s="26"/>
      <c r="D141" s="21"/>
      <c r="E141" s="22"/>
      <c r="F141" s="24"/>
    </row>
    <row r="142" spans="1:6" x14ac:dyDescent="0.25">
      <c r="A142" s="18"/>
      <c r="B142" s="26"/>
      <c r="C142" s="26"/>
      <c r="D142" s="21"/>
      <c r="E142" s="22"/>
      <c r="F142" s="24"/>
    </row>
    <row r="143" spans="1:6" x14ac:dyDescent="0.25">
      <c r="A143" s="18"/>
      <c r="B143" s="26"/>
      <c r="C143" s="26"/>
      <c r="D143" s="21"/>
      <c r="E143" s="22"/>
      <c r="F143" s="24"/>
    </row>
    <row r="144" spans="1:6" x14ac:dyDescent="0.25">
      <c r="A144" s="18"/>
      <c r="B144" s="26"/>
      <c r="C144" s="26"/>
      <c r="D144" s="21"/>
      <c r="E144" s="22"/>
      <c r="F144" s="24"/>
    </row>
    <row r="145" spans="1:6" x14ac:dyDescent="0.25">
      <c r="A145" s="18"/>
      <c r="B145" s="26"/>
      <c r="C145" s="26"/>
      <c r="D145" s="21"/>
      <c r="E145" s="22"/>
      <c r="F145" s="24"/>
    </row>
    <row r="146" spans="1:6" x14ac:dyDescent="0.25">
      <c r="A146" s="18"/>
      <c r="B146" s="26"/>
      <c r="C146" s="26"/>
      <c r="D146" s="21"/>
      <c r="E146" s="22"/>
      <c r="F146" s="24"/>
    </row>
    <row r="147" spans="1:6" x14ac:dyDescent="0.25">
      <c r="A147" s="18"/>
      <c r="B147" s="26"/>
      <c r="C147" s="26"/>
      <c r="D147" s="21"/>
      <c r="E147" s="22"/>
      <c r="F147" s="24"/>
    </row>
    <row r="148" spans="1:6" x14ac:dyDescent="0.25">
      <c r="A148" s="18"/>
      <c r="B148" s="26"/>
      <c r="C148" s="26"/>
      <c r="D148" s="21"/>
      <c r="E148" s="22"/>
      <c r="F148" s="24"/>
    </row>
    <row r="149" spans="1:6" x14ac:dyDescent="0.25">
      <c r="A149" s="18"/>
      <c r="B149" s="26"/>
      <c r="C149" s="26"/>
      <c r="D149" s="21"/>
      <c r="E149" s="22"/>
      <c r="F149" s="24"/>
    </row>
    <row r="150" spans="1:6" x14ac:dyDescent="0.25">
      <c r="A150" s="18"/>
      <c r="B150" s="26"/>
      <c r="C150" s="26"/>
      <c r="D150" s="21"/>
      <c r="E150" s="22"/>
      <c r="F150" s="24"/>
    </row>
    <row r="151" spans="1:6" x14ac:dyDescent="0.25">
      <c r="A151" s="18"/>
      <c r="B151" s="26"/>
      <c r="C151" s="26"/>
      <c r="D151" s="21"/>
      <c r="E151" s="22"/>
      <c r="F151" s="24"/>
    </row>
    <row r="152" spans="1:6" x14ac:dyDescent="0.25">
      <c r="A152" s="18"/>
      <c r="B152" s="26"/>
      <c r="C152" s="26"/>
      <c r="D152" s="21"/>
      <c r="E152" s="22"/>
      <c r="F152" s="24"/>
    </row>
    <row r="153" spans="1:6" x14ac:dyDescent="0.25">
      <c r="A153" s="18"/>
      <c r="B153" s="26"/>
      <c r="C153" s="26"/>
      <c r="D153" s="21"/>
      <c r="E153" s="22"/>
      <c r="F153" s="24"/>
    </row>
    <row r="154" spans="1:6" x14ac:dyDescent="0.25">
      <c r="A154" s="18"/>
      <c r="B154" s="26"/>
      <c r="C154" s="26"/>
      <c r="D154" s="21"/>
      <c r="E154" s="22"/>
      <c r="F154" s="24"/>
    </row>
  </sheetData>
  <mergeCells count="104">
    <mergeCell ref="B57:C57"/>
    <mergeCell ref="B58:C58"/>
    <mergeCell ref="B59:C59"/>
    <mergeCell ref="B60:C60"/>
    <mergeCell ref="B61:C61"/>
    <mergeCell ref="B56:C56"/>
    <mergeCell ref="B55:C55"/>
    <mergeCell ref="A44:B44"/>
    <mergeCell ref="A45:B45"/>
    <mergeCell ref="B53:C53"/>
    <mergeCell ref="B54:C54"/>
    <mergeCell ref="B67:C67"/>
    <mergeCell ref="B68:C68"/>
    <mergeCell ref="B69:C69"/>
    <mergeCell ref="B70:C70"/>
    <mergeCell ref="B71:C71"/>
    <mergeCell ref="B62:C62"/>
    <mergeCell ref="B63:C63"/>
    <mergeCell ref="B64:C64"/>
    <mergeCell ref="B65:C65"/>
    <mergeCell ref="B66:C66"/>
    <mergeCell ref="B77:C77"/>
    <mergeCell ref="B78:C78"/>
    <mergeCell ref="B79:C79"/>
    <mergeCell ref="B80:C80"/>
    <mergeCell ref="B81:C81"/>
    <mergeCell ref="B72:C72"/>
    <mergeCell ref="B73:C73"/>
    <mergeCell ref="B74:C74"/>
    <mergeCell ref="B75:C75"/>
    <mergeCell ref="B76:C76"/>
    <mergeCell ref="B87:C87"/>
    <mergeCell ref="B88:C88"/>
    <mergeCell ref="B89:C89"/>
    <mergeCell ref="B90:C90"/>
    <mergeCell ref="B91:C91"/>
    <mergeCell ref="B82:C82"/>
    <mergeCell ref="B83:C83"/>
    <mergeCell ref="B84:C84"/>
    <mergeCell ref="B85:C85"/>
    <mergeCell ref="B86:C86"/>
    <mergeCell ref="B97:C97"/>
    <mergeCell ref="B98:C98"/>
    <mergeCell ref="B99:C99"/>
    <mergeCell ref="B100:C100"/>
    <mergeCell ref="B101:C101"/>
    <mergeCell ref="B92:C92"/>
    <mergeCell ref="B93:C93"/>
    <mergeCell ref="B94:C94"/>
    <mergeCell ref="B95:C95"/>
    <mergeCell ref="B96:C96"/>
    <mergeCell ref="B107:C107"/>
    <mergeCell ref="B108:C108"/>
    <mergeCell ref="B109:C109"/>
    <mergeCell ref="B110:C110"/>
    <mergeCell ref="B111:C111"/>
    <mergeCell ref="B102:C102"/>
    <mergeCell ref="B103:C103"/>
    <mergeCell ref="B104:C104"/>
    <mergeCell ref="B105:C105"/>
    <mergeCell ref="B106:C106"/>
    <mergeCell ref="B117:C117"/>
    <mergeCell ref="B118:C118"/>
    <mergeCell ref="B119:C119"/>
    <mergeCell ref="B120:C120"/>
    <mergeCell ref="B121:C121"/>
    <mergeCell ref="B112:C112"/>
    <mergeCell ref="B113:C113"/>
    <mergeCell ref="B114:C114"/>
    <mergeCell ref="B115:C115"/>
    <mergeCell ref="B116:C116"/>
    <mergeCell ref="B127:C127"/>
    <mergeCell ref="B128:C128"/>
    <mergeCell ref="B129:C129"/>
    <mergeCell ref="B130:C130"/>
    <mergeCell ref="B131:C131"/>
    <mergeCell ref="B122:C122"/>
    <mergeCell ref="B123:C123"/>
    <mergeCell ref="B124:C124"/>
    <mergeCell ref="B125:C125"/>
    <mergeCell ref="B126:C126"/>
    <mergeCell ref="B137:C137"/>
    <mergeCell ref="B138:C138"/>
    <mergeCell ref="B139:C139"/>
    <mergeCell ref="B140:C140"/>
    <mergeCell ref="B141:C141"/>
    <mergeCell ref="B132:C132"/>
    <mergeCell ref="B133:C133"/>
    <mergeCell ref="B134:C134"/>
    <mergeCell ref="B135:C135"/>
    <mergeCell ref="B136:C136"/>
    <mergeCell ref="B152:C152"/>
    <mergeCell ref="B153:C153"/>
    <mergeCell ref="B154:C154"/>
    <mergeCell ref="B147:C147"/>
    <mergeCell ref="B148:C148"/>
    <mergeCell ref="B149:C149"/>
    <mergeCell ref="B150:C150"/>
    <mergeCell ref="B151:C151"/>
    <mergeCell ref="B142:C142"/>
    <mergeCell ref="B143:C143"/>
    <mergeCell ref="B144:C144"/>
    <mergeCell ref="B145:C145"/>
    <mergeCell ref="B146:C146"/>
  </mergeCells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6D6F-F0E5-4763-8F78-0375F1A09A45}">
  <dimension ref="A1:F141"/>
  <sheetViews>
    <sheetView workbookViewId="0">
      <selection activeCell="D22" sqref="D22"/>
    </sheetView>
  </sheetViews>
  <sheetFormatPr defaultRowHeight="15" x14ac:dyDescent="0.25"/>
  <cols>
    <col min="1" max="1" width="11.7109375" customWidth="1"/>
    <col min="2" max="2" width="10.85546875" customWidth="1"/>
    <col min="3" max="3" width="12.7109375" customWidth="1"/>
    <col min="4" max="4" width="20.5703125" customWidth="1"/>
    <col min="5" max="5" width="17" customWidth="1"/>
  </cols>
  <sheetData>
    <row r="1" spans="1:5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5" x14ac:dyDescent="0.25">
      <c r="A2" s="4" t="s">
        <v>48</v>
      </c>
      <c r="B2" s="4">
        <v>52.75</v>
      </c>
      <c r="C2" s="8">
        <v>-0.24110910186859499</v>
      </c>
      <c r="D2" s="4">
        <f>B2*C2/100</f>
        <v>-0.12718505123568385</v>
      </c>
    </row>
    <row r="3" spans="1:5" x14ac:dyDescent="0.25">
      <c r="A3" s="4" t="s">
        <v>45</v>
      </c>
      <c r="B3" s="4">
        <v>11.12</v>
      </c>
      <c r="C3" s="8">
        <v>-4.1176470588235201</v>
      </c>
      <c r="D3" s="4">
        <f t="shared" ref="D3:D5" si="0">B3*C3/100</f>
        <v>-0.45788235294117541</v>
      </c>
    </row>
    <row r="4" spans="1:5" x14ac:dyDescent="0.25">
      <c r="A4" s="4" t="s">
        <v>46</v>
      </c>
      <c r="B4" s="4">
        <v>0.53</v>
      </c>
      <c r="C4" s="8">
        <v>0.26567481402762999</v>
      </c>
      <c r="D4" s="4">
        <f t="shared" si="0"/>
        <v>1.408076514346439E-3</v>
      </c>
    </row>
    <row r="5" spans="1:5" x14ac:dyDescent="0.25">
      <c r="A5" s="4" t="s">
        <v>47</v>
      </c>
      <c r="B5" s="4">
        <v>29.82</v>
      </c>
      <c r="C5" s="4">
        <v>1.76</v>
      </c>
      <c r="D5" s="4">
        <f t="shared" si="0"/>
        <v>0.52483200000000008</v>
      </c>
    </row>
    <row r="6" spans="1:5" x14ac:dyDescent="0.25">
      <c r="A6" s="12" t="s">
        <v>63</v>
      </c>
      <c r="B6" s="5">
        <f>B2++B3+B4+B5</f>
        <v>94.22</v>
      </c>
      <c r="C6" s="4"/>
      <c r="D6" s="6">
        <f>D2+D3+D4+D5</f>
        <v>-5.8827327662512752E-2</v>
      </c>
    </row>
    <row r="7" spans="1:5" x14ac:dyDescent="0.25">
      <c r="A7" s="4"/>
      <c r="B7" s="4"/>
      <c r="C7" s="4"/>
      <c r="D7" s="4"/>
    </row>
    <row r="8" spans="1:5" x14ac:dyDescent="0.25">
      <c r="A8" s="4"/>
      <c r="B8" s="4"/>
      <c r="C8" s="5"/>
      <c r="D8" s="4"/>
    </row>
    <row r="9" spans="1:5" x14ac:dyDescent="0.25">
      <c r="C9" s="4"/>
      <c r="D9" s="4"/>
      <c r="E9" s="4"/>
    </row>
    <row r="10" spans="1:5" x14ac:dyDescent="0.25">
      <c r="A10" s="26"/>
      <c r="B10" s="26"/>
      <c r="C10" s="4"/>
      <c r="D10" s="4"/>
      <c r="E10" s="17"/>
    </row>
    <row r="11" spans="1:5" x14ac:dyDescent="0.25">
      <c r="A11" s="26"/>
      <c r="B11" s="26"/>
      <c r="C11" s="10"/>
      <c r="D11" s="10"/>
    </row>
    <row r="31" spans="1:6" x14ac:dyDescent="0.25">
      <c r="A31" s="5" t="s">
        <v>74</v>
      </c>
      <c r="B31" s="27" t="s">
        <v>52</v>
      </c>
      <c r="C31" s="27"/>
      <c r="D31" s="20" t="s">
        <v>53</v>
      </c>
      <c r="E31" s="5" t="s">
        <v>67</v>
      </c>
      <c r="F31" s="5" t="s">
        <v>75</v>
      </c>
    </row>
    <row r="32" spans="1:6" x14ac:dyDescent="0.25">
      <c r="A32" s="23">
        <v>46226</v>
      </c>
      <c r="B32" s="26">
        <v>48221</v>
      </c>
      <c r="C32" s="26"/>
      <c r="D32" s="21">
        <v>28591206600</v>
      </c>
      <c r="E32" s="21">
        <v>578476685</v>
      </c>
      <c r="F32" s="24">
        <v>3.3999999999999998E-3</v>
      </c>
    </row>
    <row r="33" spans="1:6" x14ac:dyDescent="0.25">
      <c r="A33" s="23">
        <v>46227</v>
      </c>
      <c r="B33" s="26">
        <v>48802</v>
      </c>
      <c r="C33" s="26"/>
      <c r="D33" s="21">
        <v>29255953804</v>
      </c>
      <c r="E33" s="21">
        <v>630289948</v>
      </c>
      <c r="F33" s="24">
        <v>1.1999999999999999E-3</v>
      </c>
    </row>
    <row r="34" spans="1:6" x14ac:dyDescent="0.25">
      <c r="A34" s="23">
        <v>46230</v>
      </c>
      <c r="B34" s="26">
        <v>49403</v>
      </c>
      <c r="C34" s="26"/>
      <c r="D34" s="21">
        <v>30359209400</v>
      </c>
      <c r="E34" s="21">
        <v>781254453</v>
      </c>
      <c r="F34" s="24">
        <v>1.0999999999999999E-2</v>
      </c>
    </row>
    <row r="35" spans="1:6" x14ac:dyDescent="0.25">
      <c r="A35" s="23">
        <v>46231</v>
      </c>
      <c r="B35" s="26">
        <v>49817</v>
      </c>
      <c r="C35" s="26"/>
      <c r="D35" s="21">
        <v>30985486603</v>
      </c>
      <c r="E35" s="21">
        <v>577239728</v>
      </c>
      <c r="F35" s="24">
        <v>1.6000000000000001E-3</v>
      </c>
    </row>
    <row r="36" spans="1:6" x14ac:dyDescent="0.25">
      <c r="A36" s="23">
        <v>46232</v>
      </c>
      <c r="B36" s="26">
        <v>50631</v>
      </c>
      <c r="C36" s="26"/>
      <c r="D36" s="21">
        <v>32047144824</v>
      </c>
      <c r="E36" s="21">
        <v>1031302629</v>
      </c>
      <c r="F36" s="24">
        <v>1E-3</v>
      </c>
    </row>
    <row r="37" spans="1:6" x14ac:dyDescent="0.25">
      <c r="A37" s="23"/>
      <c r="B37" s="26"/>
      <c r="C37" s="26"/>
      <c r="D37" s="21"/>
      <c r="E37" s="21"/>
      <c r="F37" s="24"/>
    </row>
    <row r="38" spans="1:6" x14ac:dyDescent="0.25">
      <c r="A38" s="23"/>
      <c r="B38" s="26"/>
      <c r="C38" s="26"/>
      <c r="D38" s="21"/>
      <c r="E38" s="21"/>
      <c r="F38" s="24"/>
    </row>
    <row r="39" spans="1:6" x14ac:dyDescent="0.25">
      <c r="A39" s="23"/>
      <c r="B39" s="26"/>
      <c r="C39" s="26"/>
      <c r="D39" s="21"/>
      <c r="E39" s="21"/>
      <c r="F39" s="24"/>
    </row>
    <row r="40" spans="1:6" x14ac:dyDescent="0.25">
      <c r="A40" s="23"/>
      <c r="B40" s="26"/>
      <c r="C40" s="26"/>
      <c r="D40" s="21"/>
      <c r="E40" s="21"/>
      <c r="F40" s="24"/>
    </row>
    <row r="41" spans="1:6" x14ac:dyDescent="0.25">
      <c r="A41" s="23"/>
      <c r="B41" s="26"/>
      <c r="C41" s="26"/>
      <c r="D41" s="21"/>
      <c r="E41" s="21"/>
      <c r="F41" s="24"/>
    </row>
    <row r="42" spans="1:6" x14ac:dyDescent="0.25">
      <c r="A42" s="23"/>
      <c r="B42" s="26"/>
      <c r="C42" s="26"/>
      <c r="D42" s="21"/>
      <c r="E42" s="21"/>
      <c r="F42" s="24"/>
    </row>
    <row r="43" spans="1:6" x14ac:dyDescent="0.25">
      <c r="A43" s="23"/>
      <c r="B43" s="26"/>
      <c r="C43" s="26"/>
      <c r="D43" s="21"/>
      <c r="E43" s="21"/>
      <c r="F43" s="24"/>
    </row>
    <row r="44" spans="1:6" x14ac:dyDescent="0.25">
      <c r="A44" s="23"/>
      <c r="B44" s="26"/>
      <c r="C44" s="26"/>
      <c r="D44" s="21"/>
      <c r="E44" s="21"/>
      <c r="F44" s="24"/>
    </row>
    <row r="45" spans="1:6" x14ac:dyDescent="0.25">
      <c r="A45" s="23"/>
      <c r="B45" s="26"/>
      <c r="C45" s="26"/>
      <c r="D45" s="21"/>
      <c r="E45" s="21"/>
      <c r="F45" s="24"/>
    </row>
    <row r="46" spans="1:6" x14ac:dyDescent="0.25">
      <c r="A46" s="23"/>
      <c r="B46" s="26"/>
      <c r="C46" s="26"/>
      <c r="D46" s="21"/>
      <c r="E46" s="21"/>
      <c r="F46" s="24"/>
    </row>
    <row r="47" spans="1:6" x14ac:dyDescent="0.25">
      <c r="A47" s="23"/>
      <c r="B47" s="26"/>
      <c r="C47" s="26"/>
      <c r="D47" s="21"/>
      <c r="E47" s="21"/>
      <c r="F47" s="24"/>
    </row>
    <row r="48" spans="1:6" x14ac:dyDescent="0.25">
      <c r="A48" s="23"/>
      <c r="B48" s="26"/>
      <c r="C48" s="26"/>
      <c r="D48" s="21"/>
      <c r="E48" s="21"/>
      <c r="F48" s="24"/>
    </row>
    <row r="49" spans="1:6" x14ac:dyDescent="0.25">
      <c r="A49" s="23"/>
      <c r="B49" s="26"/>
      <c r="C49" s="26"/>
      <c r="D49" s="21"/>
      <c r="E49" s="21"/>
      <c r="F49" s="24"/>
    </row>
    <row r="50" spans="1:6" x14ac:dyDescent="0.25">
      <c r="A50" s="23"/>
      <c r="B50" s="26"/>
      <c r="C50" s="26"/>
      <c r="D50" s="21"/>
      <c r="E50" s="21"/>
      <c r="F50" s="24"/>
    </row>
    <row r="51" spans="1:6" x14ac:dyDescent="0.25">
      <c r="A51" s="23"/>
      <c r="B51" s="26"/>
      <c r="C51" s="26"/>
      <c r="D51" s="21"/>
      <c r="E51" s="21"/>
      <c r="F51" s="24"/>
    </row>
    <row r="52" spans="1:6" x14ac:dyDescent="0.25">
      <c r="A52" s="23"/>
      <c r="B52" s="26"/>
      <c r="C52" s="26"/>
      <c r="D52" s="21"/>
      <c r="E52" s="21"/>
      <c r="F52" s="24"/>
    </row>
    <row r="53" spans="1:6" x14ac:dyDescent="0.25">
      <c r="A53" s="23"/>
      <c r="B53" s="26"/>
      <c r="C53" s="26"/>
      <c r="D53" s="21"/>
      <c r="E53" s="21"/>
      <c r="F53" s="24"/>
    </row>
    <row r="54" spans="1:6" x14ac:dyDescent="0.25">
      <c r="A54" s="23"/>
      <c r="B54" s="26"/>
      <c r="C54" s="26"/>
      <c r="D54" s="21"/>
      <c r="E54" s="21"/>
      <c r="F54" s="24"/>
    </row>
    <row r="55" spans="1:6" x14ac:dyDescent="0.25">
      <c r="A55" s="23"/>
      <c r="B55" s="26"/>
      <c r="C55" s="26"/>
      <c r="D55" s="21"/>
      <c r="E55" s="21"/>
      <c r="F55" s="24"/>
    </row>
    <row r="56" spans="1:6" x14ac:dyDescent="0.25">
      <c r="A56" s="23"/>
      <c r="B56" s="26"/>
      <c r="C56" s="26"/>
      <c r="D56" s="21"/>
      <c r="E56" s="21"/>
      <c r="F56" s="24"/>
    </row>
    <row r="57" spans="1:6" x14ac:dyDescent="0.25">
      <c r="A57" s="23"/>
      <c r="B57" s="26"/>
      <c r="C57" s="26"/>
      <c r="D57" s="21"/>
      <c r="E57" s="21"/>
      <c r="F57" s="24"/>
    </row>
    <row r="58" spans="1:6" x14ac:dyDescent="0.25">
      <c r="A58" s="23"/>
      <c r="B58" s="26"/>
      <c r="C58" s="26"/>
      <c r="D58" s="21"/>
      <c r="E58" s="21"/>
      <c r="F58" s="24"/>
    </row>
    <row r="59" spans="1:6" x14ac:dyDescent="0.25">
      <c r="A59" s="23"/>
      <c r="B59" s="26"/>
      <c r="C59" s="26"/>
      <c r="D59" s="21"/>
      <c r="E59" s="21"/>
      <c r="F59" s="24"/>
    </row>
    <row r="60" spans="1:6" x14ac:dyDescent="0.25">
      <c r="A60" s="23"/>
      <c r="B60" s="26"/>
      <c r="C60" s="26"/>
      <c r="D60" s="21"/>
      <c r="E60" s="21"/>
      <c r="F60" s="24"/>
    </row>
    <row r="61" spans="1:6" x14ac:dyDescent="0.25">
      <c r="A61" s="23"/>
      <c r="B61" s="26"/>
      <c r="C61" s="26"/>
      <c r="D61" s="21"/>
      <c r="E61" s="21"/>
      <c r="F61" s="24"/>
    </row>
    <row r="62" spans="1:6" x14ac:dyDescent="0.25">
      <c r="A62" s="23"/>
      <c r="B62" s="26"/>
      <c r="C62" s="26"/>
      <c r="D62" s="21"/>
      <c r="E62" s="21"/>
      <c r="F62" s="24"/>
    </row>
    <row r="63" spans="1:6" x14ac:dyDescent="0.25">
      <c r="A63" s="23"/>
      <c r="B63" s="26"/>
      <c r="C63" s="26"/>
      <c r="D63" s="21"/>
      <c r="E63" s="21"/>
      <c r="F63" s="24"/>
    </row>
    <row r="64" spans="1:6" x14ac:dyDescent="0.25">
      <c r="A64" s="23"/>
      <c r="B64" s="26"/>
      <c r="C64" s="26"/>
      <c r="D64" s="21"/>
      <c r="E64" s="21"/>
      <c r="F64" s="24"/>
    </row>
    <row r="65" spans="1:6" x14ac:dyDescent="0.25">
      <c r="A65" s="23"/>
      <c r="B65" s="26"/>
      <c r="C65" s="26"/>
      <c r="D65" s="21"/>
      <c r="E65" s="21"/>
      <c r="F65" s="24"/>
    </row>
    <row r="66" spans="1:6" x14ac:dyDescent="0.25">
      <c r="A66" s="23"/>
      <c r="B66" s="26"/>
      <c r="C66" s="26"/>
      <c r="D66" s="21"/>
      <c r="E66" s="21"/>
      <c r="F66" s="24"/>
    </row>
    <row r="67" spans="1:6" x14ac:dyDescent="0.25">
      <c r="A67" s="23"/>
      <c r="B67" s="26"/>
      <c r="C67" s="26"/>
      <c r="D67" s="21"/>
      <c r="E67" s="21"/>
      <c r="F67" s="24"/>
    </row>
    <row r="68" spans="1:6" x14ac:dyDescent="0.25">
      <c r="A68" s="23"/>
      <c r="B68" s="26"/>
      <c r="C68" s="26"/>
      <c r="D68" s="21"/>
      <c r="E68" s="21"/>
      <c r="F68" s="24"/>
    </row>
    <row r="69" spans="1:6" x14ac:dyDescent="0.25">
      <c r="A69" s="23"/>
      <c r="B69" s="26"/>
      <c r="C69" s="26"/>
      <c r="D69" s="21"/>
      <c r="E69" s="21"/>
      <c r="F69" s="24"/>
    </row>
    <row r="70" spans="1:6" x14ac:dyDescent="0.25">
      <c r="A70" s="23"/>
      <c r="B70" s="26"/>
      <c r="C70" s="26"/>
      <c r="D70" s="21"/>
      <c r="E70" s="21"/>
      <c r="F70" s="24"/>
    </row>
    <row r="71" spans="1:6" x14ac:dyDescent="0.25">
      <c r="A71" s="23"/>
      <c r="B71" s="26"/>
      <c r="C71" s="26"/>
      <c r="D71" s="21"/>
      <c r="E71" s="21"/>
      <c r="F71" s="24"/>
    </row>
    <row r="72" spans="1:6" x14ac:dyDescent="0.25">
      <c r="A72" s="23"/>
      <c r="B72" s="26"/>
      <c r="C72" s="26"/>
      <c r="D72" s="21"/>
      <c r="E72" s="21"/>
      <c r="F72" s="24"/>
    </row>
    <row r="73" spans="1:6" x14ac:dyDescent="0.25">
      <c r="A73" s="23"/>
      <c r="B73" s="26"/>
      <c r="C73" s="26"/>
      <c r="D73" s="21"/>
      <c r="E73" s="21"/>
      <c r="F73" s="24"/>
    </row>
    <row r="74" spans="1:6" x14ac:dyDescent="0.25">
      <c r="A74" s="23"/>
      <c r="B74" s="26"/>
      <c r="C74" s="26"/>
      <c r="D74" s="21"/>
      <c r="E74" s="21"/>
      <c r="F74" s="24"/>
    </row>
    <row r="75" spans="1:6" x14ac:dyDescent="0.25">
      <c r="A75" s="23"/>
      <c r="B75" s="26"/>
      <c r="C75" s="26"/>
      <c r="D75" s="21"/>
      <c r="E75" s="21"/>
      <c r="F75" s="24"/>
    </row>
    <row r="76" spans="1:6" x14ac:dyDescent="0.25">
      <c r="A76" s="23"/>
      <c r="B76" s="26"/>
      <c r="C76" s="26"/>
      <c r="D76" s="21"/>
      <c r="E76" s="21"/>
      <c r="F76" s="24"/>
    </row>
    <row r="77" spans="1:6" x14ac:dyDescent="0.25">
      <c r="A77" s="23"/>
      <c r="B77" s="26"/>
      <c r="C77" s="26"/>
      <c r="D77" s="21"/>
      <c r="E77" s="21"/>
      <c r="F77" s="24"/>
    </row>
    <row r="78" spans="1:6" x14ac:dyDescent="0.25">
      <c r="A78" s="23"/>
      <c r="B78" s="26"/>
      <c r="C78" s="26"/>
      <c r="D78" s="21"/>
      <c r="E78" s="21"/>
      <c r="F78" s="24"/>
    </row>
    <row r="79" spans="1:6" x14ac:dyDescent="0.25">
      <c r="A79" s="23"/>
      <c r="B79" s="26"/>
      <c r="C79" s="26"/>
      <c r="D79" s="21"/>
      <c r="E79" s="21"/>
      <c r="F79" s="24"/>
    </row>
    <row r="80" spans="1:6" x14ac:dyDescent="0.25">
      <c r="A80" s="23"/>
      <c r="B80" s="26"/>
      <c r="C80" s="26"/>
      <c r="D80" s="21"/>
      <c r="E80" s="21"/>
      <c r="F80" s="24"/>
    </row>
    <row r="81" spans="1:6" x14ac:dyDescent="0.25">
      <c r="A81" s="23"/>
      <c r="B81" s="26"/>
      <c r="C81" s="26"/>
      <c r="D81" s="21"/>
      <c r="E81" s="21"/>
      <c r="F81" s="24"/>
    </row>
    <row r="82" spans="1:6" x14ac:dyDescent="0.25">
      <c r="A82" s="23"/>
      <c r="B82" s="26"/>
      <c r="C82" s="26"/>
      <c r="D82" s="21"/>
      <c r="E82" s="21"/>
      <c r="F82" s="24"/>
    </row>
    <row r="83" spans="1:6" x14ac:dyDescent="0.25">
      <c r="A83" s="23"/>
      <c r="B83" s="26"/>
      <c r="C83" s="26"/>
      <c r="D83" s="21"/>
      <c r="E83" s="21"/>
      <c r="F83" s="24"/>
    </row>
    <row r="84" spans="1:6" x14ac:dyDescent="0.25">
      <c r="A84" s="23"/>
      <c r="B84" s="26"/>
      <c r="C84" s="26"/>
      <c r="D84" s="21"/>
      <c r="E84" s="21"/>
      <c r="F84" s="24"/>
    </row>
    <row r="85" spans="1:6" x14ac:dyDescent="0.25">
      <c r="A85" s="23"/>
      <c r="B85" s="26"/>
      <c r="C85" s="26"/>
      <c r="D85" s="21"/>
      <c r="E85" s="21"/>
      <c r="F85" s="24"/>
    </row>
    <row r="86" spans="1:6" x14ac:dyDescent="0.25">
      <c r="A86" s="23"/>
      <c r="B86" s="26"/>
      <c r="C86" s="26"/>
      <c r="D86" s="21"/>
      <c r="E86" s="21"/>
      <c r="F86" s="24"/>
    </row>
    <row r="87" spans="1:6" x14ac:dyDescent="0.25">
      <c r="A87" s="23"/>
      <c r="B87" s="26"/>
      <c r="C87" s="26"/>
      <c r="D87" s="21"/>
      <c r="E87" s="21"/>
      <c r="F87" s="24"/>
    </row>
    <row r="88" spans="1:6" x14ac:dyDescent="0.25">
      <c r="A88" s="23"/>
      <c r="B88" s="26"/>
      <c r="C88" s="26"/>
      <c r="D88" s="21"/>
      <c r="E88" s="21"/>
      <c r="F88" s="24"/>
    </row>
    <row r="89" spans="1:6" x14ac:dyDescent="0.25">
      <c r="A89" s="23"/>
      <c r="B89" s="26"/>
      <c r="C89" s="26"/>
      <c r="D89" s="21"/>
      <c r="E89" s="21"/>
      <c r="F89" s="24"/>
    </row>
    <row r="90" spans="1:6" x14ac:dyDescent="0.25">
      <c r="A90" s="23"/>
      <c r="B90" s="26"/>
      <c r="C90" s="26"/>
      <c r="D90" s="21"/>
      <c r="E90" s="21"/>
      <c r="F90" s="24"/>
    </row>
    <row r="91" spans="1:6" x14ac:dyDescent="0.25">
      <c r="A91" s="23"/>
      <c r="B91" s="26"/>
      <c r="C91" s="26"/>
      <c r="D91" s="21"/>
      <c r="E91" s="21"/>
      <c r="F91" s="24"/>
    </row>
    <row r="92" spans="1:6" x14ac:dyDescent="0.25">
      <c r="A92" s="23"/>
      <c r="B92" s="26"/>
      <c r="C92" s="26"/>
      <c r="D92" s="21"/>
      <c r="E92" s="21"/>
      <c r="F92" s="24"/>
    </row>
    <row r="93" spans="1:6" x14ac:dyDescent="0.25">
      <c r="A93" s="23"/>
      <c r="B93" s="26"/>
      <c r="C93" s="26"/>
      <c r="D93" s="21"/>
      <c r="E93" s="21"/>
      <c r="F93" s="24"/>
    </row>
    <row r="94" spans="1:6" x14ac:dyDescent="0.25">
      <c r="A94" s="23"/>
      <c r="B94" s="26"/>
      <c r="C94" s="26"/>
      <c r="D94" s="21"/>
      <c r="E94" s="21"/>
      <c r="F94" s="24"/>
    </row>
    <row r="95" spans="1:6" x14ac:dyDescent="0.25">
      <c r="A95" s="23"/>
      <c r="B95" s="26"/>
      <c r="C95" s="26"/>
      <c r="D95" s="21"/>
      <c r="E95" s="21"/>
      <c r="F95" s="24"/>
    </row>
    <row r="96" spans="1:6" x14ac:dyDescent="0.25">
      <c r="A96" s="23"/>
      <c r="B96" s="26"/>
      <c r="C96" s="26"/>
      <c r="D96" s="21"/>
      <c r="E96" s="21"/>
      <c r="F96" s="24"/>
    </row>
    <row r="97" spans="1:6" x14ac:dyDescent="0.25">
      <c r="A97" s="23"/>
      <c r="B97" s="26"/>
      <c r="C97" s="26"/>
      <c r="D97" s="21"/>
      <c r="E97" s="21"/>
      <c r="F97" s="24"/>
    </row>
    <row r="98" spans="1:6" x14ac:dyDescent="0.25">
      <c r="A98" s="23"/>
      <c r="B98" s="26"/>
      <c r="C98" s="26"/>
      <c r="D98" s="21"/>
      <c r="E98" s="21"/>
      <c r="F98" s="24"/>
    </row>
    <row r="99" spans="1:6" x14ac:dyDescent="0.25">
      <c r="A99" s="23"/>
      <c r="B99" s="26"/>
      <c r="C99" s="26"/>
      <c r="D99" s="21"/>
      <c r="E99" s="21"/>
      <c r="F99" s="24"/>
    </row>
    <row r="100" spans="1:6" x14ac:dyDescent="0.25">
      <c r="A100" s="23"/>
      <c r="B100" s="26"/>
      <c r="C100" s="26"/>
      <c r="D100" s="21"/>
      <c r="E100" s="21"/>
      <c r="F100" s="24"/>
    </row>
    <row r="101" spans="1:6" x14ac:dyDescent="0.25">
      <c r="A101" s="23"/>
      <c r="B101" s="26"/>
      <c r="C101" s="26"/>
      <c r="D101" s="21"/>
      <c r="E101" s="21"/>
      <c r="F101" s="24"/>
    </row>
    <row r="102" spans="1:6" x14ac:dyDescent="0.25">
      <c r="A102" s="23"/>
      <c r="B102" s="26"/>
      <c r="C102" s="26"/>
      <c r="D102" s="21"/>
      <c r="E102" s="21"/>
      <c r="F102" s="24"/>
    </row>
    <row r="103" spans="1:6" x14ac:dyDescent="0.25">
      <c r="A103" s="23"/>
      <c r="B103" s="26"/>
      <c r="C103" s="26"/>
      <c r="D103" s="21"/>
      <c r="E103" s="21"/>
      <c r="F103" s="24"/>
    </row>
    <row r="104" spans="1:6" x14ac:dyDescent="0.25">
      <c r="A104" s="23"/>
      <c r="B104" s="26"/>
      <c r="C104" s="26"/>
      <c r="D104" s="21"/>
      <c r="E104" s="21"/>
      <c r="F104" s="24"/>
    </row>
    <row r="105" spans="1:6" x14ac:dyDescent="0.25">
      <c r="A105" s="23"/>
      <c r="B105" s="26"/>
      <c r="C105" s="26"/>
      <c r="D105" s="21"/>
      <c r="E105" s="21"/>
      <c r="F105" s="24"/>
    </row>
    <row r="106" spans="1:6" x14ac:dyDescent="0.25">
      <c r="A106" s="23"/>
      <c r="B106" s="26"/>
      <c r="C106" s="26"/>
      <c r="D106" s="21"/>
      <c r="E106" s="21"/>
      <c r="F106" s="24"/>
    </row>
    <row r="107" spans="1:6" x14ac:dyDescent="0.25">
      <c r="A107" s="23"/>
      <c r="B107" s="26"/>
      <c r="C107" s="26"/>
      <c r="D107" s="21"/>
      <c r="E107" s="21"/>
      <c r="F107" s="24"/>
    </row>
    <row r="108" spans="1:6" x14ac:dyDescent="0.25">
      <c r="A108" s="23"/>
      <c r="B108" s="26"/>
      <c r="C108" s="26"/>
      <c r="D108" s="21"/>
      <c r="E108" s="21"/>
      <c r="F108" s="24"/>
    </row>
    <row r="109" spans="1:6" x14ac:dyDescent="0.25">
      <c r="A109" s="23"/>
      <c r="B109" s="26"/>
      <c r="C109" s="26"/>
      <c r="D109" s="21"/>
      <c r="E109" s="21"/>
      <c r="F109" s="24"/>
    </row>
    <row r="110" spans="1:6" x14ac:dyDescent="0.25">
      <c r="A110" s="23"/>
      <c r="B110" s="26"/>
      <c r="C110" s="26"/>
      <c r="D110" s="21"/>
      <c r="E110" s="21"/>
      <c r="F110" s="24"/>
    </row>
    <row r="111" spans="1:6" x14ac:dyDescent="0.25">
      <c r="A111" s="23"/>
      <c r="B111" s="26"/>
      <c r="C111" s="26"/>
      <c r="D111" s="21"/>
      <c r="E111" s="21"/>
      <c r="F111" s="24"/>
    </row>
    <row r="112" spans="1:6" x14ac:dyDescent="0.25">
      <c r="A112" s="23"/>
      <c r="B112" s="26"/>
      <c r="C112" s="26"/>
      <c r="D112" s="21"/>
      <c r="E112" s="21"/>
      <c r="F112" s="24"/>
    </row>
    <row r="113" spans="1:6" x14ac:dyDescent="0.25">
      <c r="A113" s="23"/>
      <c r="B113" s="26"/>
      <c r="C113" s="26"/>
      <c r="D113" s="21"/>
      <c r="E113" s="21"/>
      <c r="F113" s="24"/>
    </row>
    <row r="114" spans="1:6" x14ac:dyDescent="0.25">
      <c r="A114" s="23"/>
      <c r="B114" s="26"/>
      <c r="C114" s="26"/>
      <c r="D114" s="21"/>
      <c r="E114" s="21"/>
      <c r="F114" s="24"/>
    </row>
    <row r="115" spans="1:6" x14ac:dyDescent="0.25">
      <c r="A115" s="23"/>
      <c r="B115" s="26"/>
      <c r="C115" s="26"/>
      <c r="D115" s="21"/>
      <c r="E115" s="21"/>
      <c r="F115" s="24"/>
    </row>
    <row r="116" spans="1:6" x14ac:dyDescent="0.25">
      <c r="A116" s="23"/>
      <c r="B116" s="26"/>
      <c r="C116" s="26"/>
      <c r="D116" s="21"/>
      <c r="E116" s="21"/>
      <c r="F116" s="24"/>
    </row>
    <row r="117" spans="1:6" x14ac:dyDescent="0.25">
      <c r="A117" s="23"/>
      <c r="B117" s="26"/>
      <c r="C117" s="26"/>
      <c r="D117" s="21"/>
      <c r="E117" s="21"/>
      <c r="F117" s="24"/>
    </row>
    <row r="118" spans="1:6" x14ac:dyDescent="0.25">
      <c r="A118" s="23"/>
      <c r="B118" s="26"/>
      <c r="C118" s="26"/>
      <c r="D118" s="21"/>
      <c r="E118" s="21"/>
      <c r="F118" s="24"/>
    </row>
    <row r="119" spans="1:6" x14ac:dyDescent="0.25">
      <c r="A119" s="23"/>
      <c r="B119" s="26"/>
      <c r="C119" s="26"/>
      <c r="D119" s="21"/>
      <c r="E119" s="21"/>
      <c r="F119" s="24"/>
    </row>
    <row r="120" spans="1:6" x14ac:dyDescent="0.25">
      <c r="A120" s="23"/>
      <c r="B120" s="26"/>
      <c r="C120" s="26"/>
      <c r="D120" s="21"/>
      <c r="E120" s="21"/>
      <c r="F120" s="24"/>
    </row>
    <row r="121" spans="1:6" x14ac:dyDescent="0.25">
      <c r="A121" s="23"/>
      <c r="B121" s="26"/>
      <c r="C121" s="26"/>
      <c r="D121" s="21"/>
      <c r="E121" s="21"/>
      <c r="F121" s="24"/>
    </row>
    <row r="122" spans="1:6" x14ac:dyDescent="0.25">
      <c r="A122" s="23"/>
      <c r="B122" s="26"/>
      <c r="C122" s="26"/>
      <c r="D122" s="21"/>
      <c r="E122" s="21"/>
      <c r="F122" s="24"/>
    </row>
    <row r="123" spans="1:6" x14ac:dyDescent="0.25">
      <c r="A123" s="23"/>
      <c r="B123" s="26"/>
      <c r="C123" s="26"/>
      <c r="D123" s="21"/>
      <c r="E123" s="21"/>
      <c r="F123" s="24"/>
    </row>
    <row r="124" spans="1:6" x14ac:dyDescent="0.25">
      <c r="A124" s="23"/>
      <c r="B124" s="26"/>
      <c r="C124" s="26"/>
      <c r="D124" s="21"/>
      <c r="E124" s="21"/>
      <c r="F124" s="24"/>
    </row>
    <row r="125" spans="1:6" x14ac:dyDescent="0.25">
      <c r="A125" s="23"/>
      <c r="B125" s="26"/>
      <c r="C125" s="26"/>
      <c r="D125" s="21"/>
      <c r="E125" s="21"/>
      <c r="F125" s="24"/>
    </row>
    <row r="126" spans="1:6" x14ac:dyDescent="0.25">
      <c r="A126" s="23"/>
      <c r="B126" s="26"/>
      <c r="C126" s="26"/>
      <c r="D126" s="21"/>
      <c r="E126" s="21"/>
      <c r="F126" s="24"/>
    </row>
    <row r="127" spans="1:6" x14ac:dyDescent="0.25">
      <c r="A127" s="23"/>
      <c r="B127" s="26"/>
      <c r="C127" s="26"/>
      <c r="D127" s="21"/>
      <c r="E127" s="21"/>
      <c r="F127" s="24"/>
    </row>
    <row r="128" spans="1:6" x14ac:dyDescent="0.25">
      <c r="A128" s="23"/>
      <c r="B128" s="26"/>
      <c r="C128" s="26"/>
      <c r="D128" s="21"/>
      <c r="E128" s="21"/>
      <c r="F128" s="24"/>
    </row>
    <row r="129" spans="1:6" x14ac:dyDescent="0.25">
      <c r="A129" s="23"/>
      <c r="B129" s="26"/>
      <c r="C129" s="26"/>
      <c r="D129" s="21"/>
      <c r="E129" s="21"/>
      <c r="F129" s="24"/>
    </row>
    <row r="130" spans="1:6" x14ac:dyDescent="0.25">
      <c r="A130" s="23"/>
      <c r="B130" s="26"/>
      <c r="C130" s="26"/>
      <c r="D130" s="21"/>
      <c r="E130" s="21"/>
      <c r="F130" s="24"/>
    </row>
    <row r="131" spans="1:6" x14ac:dyDescent="0.25">
      <c r="A131" s="23"/>
      <c r="B131" s="26"/>
      <c r="C131" s="26"/>
      <c r="D131" s="21"/>
      <c r="E131" s="21"/>
      <c r="F131" s="24"/>
    </row>
    <row r="132" spans="1:6" x14ac:dyDescent="0.25">
      <c r="A132" s="23"/>
      <c r="B132" s="26"/>
      <c r="C132" s="26"/>
      <c r="D132" s="21"/>
      <c r="E132" s="21"/>
      <c r="F132" s="24"/>
    </row>
    <row r="133" spans="1:6" x14ac:dyDescent="0.25">
      <c r="A133" s="23"/>
      <c r="B133" s="26"/>
      <c r="C133" s="26"/>
      <c r="D133" s="21"/>
      <c r="E133" s="21"/>
      <c r="F133" s="24"/>
    </row>
    <row r="134" spans="1:6" x14ac:dyDescent="0.25">
      <c r="A134" s="23"/>
      <c r="B134" s="26"/>
      <c r="C134" s="26"/>
      <c r="D134" s="21"/>
      <c r="E134" s="21"/>
      <c r="F134" s="24"/>
    </row>
    <row r="135" spans="1:6" x14ac:dyDescent="0.25">
      <c r="A135" s="23"/>
      <c r="B135" s="26"/>
      <c r="C135" s="26"/>
      <c r="D135" s="21"/>
      <c r="E135" s="21"/>
      <c r="F135" s="24"/>
    </row>
    <row r="136" spans="1:6" x14ac:dyDescent="0.25">
      <c r="A136" s="23"/>
      <c r="B136" s="26"/>
      <c r="C136" s="26"/>
      <c r="D136" s="21"/>
      <c r="E136" s="21"/>
      <c r="F136" s="24"/>
    </row>
    <row r="137" spans="1:6" x14ac:dyDescent="0.25">
      <c r="A137" s="23"/>
      <c r="B137" s="26"/>
      <c r="C137" s="26"/>
      <c r="D137" s="21"/>
      <c r="E137" s="21"/>
      <c r="F137" s="24"/>
    </row>
    <row r="138" spans="1:6" x14ac:dyDescent="0.25">
      <c r="A138" s="23"/>
      <c r="B138" s="26"/>
      <c r="C138" s="26"/>
      <c r="D138" s="21"/>
      <c r="E138" s="21"/>
      <c r="F138" s="24"/>
    </row>
    <row r="139" spans="1:6" x14ac:dyDescent="0.25">
      <c r="A139" s="23"/>
      <c r="B139" s="26"/>
      <c r="C139" s="26"/>
      <c r="D139" s="21"/>
      <c r="E139" s="21"/>
      <c r="F139" s="24"/>
    </row>
    <row r="140" spans="1:6" x14ac:dyDescent="0.25">
      <c r="A140" s="23"/>
      <c r="B140" s="26"/>
      <c r="C140" s="26"/>
      <c r="D140" s="21"/>
      <c r="E140" s="21"/>
      <c r="F140" s="24"/>
    </row>
    <row r="141" spans="1:6" x14ac:dyDescent="0.25">
      <c r="A141" s="23"/>
      <c r="B141" s="26"/>
      <c r="C141" s="26"/>
      <c r="D141" s="21"/>
      <c r="E141" s="21"/>
      <c r="F141" s="24"/>
    </row>
  </sheetData>
  <mergeCells count="113">
    <mergeCell ref="B35:C35"/>
    <mergeCell ref="B36:C36"/>
    <mergeCell ref="B37:C37"/>
    <mergeCell ref="B38:C38"/>
    <mergeCell ref="B39:C39"/>
    <mergeCell ref="B34:C34"/>
    <mergeCell ref="B33:C33"/>
    <mergeCell ref="A10:B10"/>
    <mergeCell ref="A11:B11"/>
    <mergeCell ref="B31:C31"/>
    <mergeCell ref="B32:C32"/>
    <mergeCell ref="B45:C45"/>
    <mergeCell ref="B46:C46"/>
    <mergeCell ref="B47:C47"/>
    <mergeCell ref="B48:C48"/>
    <mergeCell ref="B49:C49"/>
    <mergeCell ref="B40:C40"/>
    <mergeCell ref="B41:C41"/>
    <mergeCell ref="B42:C42"/>
    <mergeCell ref="B43:C43"/>
    <mergeCell ref="B44:C44"/>
    <mergeCell ref="B55:C55"/>
    <mergeCell ref="B56:C56"/>
    <mergeCell ref="B57:C57"/>
    <mergeCell ref="B58:C58"/>
    <mergeCell ref="B59:C59"/>
    <mergeCell ref="B50:C50"/>
    <mergeCell ref="B51:C51"/>
    <mergeCell ref="B52:C52"/>
    <mergeCell ref="B53:C53"/>
    <mergeCell ref="B54:C54"/>
    <mergeCell ref="B65:C65"/>
    <mergeCell ref="B66:C66"/>
    <mergeCell ref="B67:C67"/>
    <mergeCell ref="B68:C68"/>
    <mergeCell ref="B69:C69"/>
    <mergeCell ref="B60:C60"/>
    <mergeCell ref="B61:C61"/>
    <mergeCell ref="B62:C62"/>
    <mergeCell ref="B63:C63"/>
    <mergeCell ref="B64:C64"/>
    <mergeCell ref="B75:C75"/>
    <mergeCell ref="B76:C76"/>
    <mergeCell ref="B77:C77"/>
    <mergeCell ref="B78:C78"/>
    <mergeCell ref="B79:C79"/>
    <mergeCell ref="B70:C70"/>
    <mergeCell ref="B71:C71"/>
    <mergeCell ref="B72:C72"/>
    <mergeCell ref="B73:C73"/>
    <mergeCell ref="B74:C74"/>
    <mergeCell ref="B85:C85"/>
    <mergeCell ref="B86:C86"/>
    <mergeCell ref="B87:C87"/>
    <mergeCell ref="B88:C88"/>
    <mergeCell ref="B89:C89"/>
    <mergeCell ref="B80:C80"/>
    <mergeCell ref="B81:C81"/>
    <mergeCell ref="B82:C82"/>
    <mergeCell ref="B83:C83"/>
    <mergeCell ref="B84:C84"/>
    <mergeCell ref="B95:C95"/>
    <mergeCell ref="B96:C96"/>
    <mergeCell ref="B97:C97"/>
    <mergeCell ref="B98:C98"/>
    <mergeCell ref="B99:C99"/>
    <mergeCell ref="B90:C90"/>
    <mergeCell ref="B91:C91"/>
    <mergeCell ref="B92:C92"/>
    <mergeCell ref="B93:C93"/>
    <mergeCell ref="B94:C94"/>
    <mergeCell ref="B105:C105"/>
    <mergeCell ref="B106:C106"/>
    <mergeCell ref="B107:C107"/>
    <mergeCell ref="B108:C108"/>
    <mergeCell ref="B109:C109"/>
    <mergeCell ref="B100:C100"/>
    <mergeCell ref="B101:C101"/>
    <mergeCell ref="B102:C102"/>
    <mergeCell ref="B103:C103"/>
    <mergeCell ref="B104:C104"/>
    <mergeCell ref="B115:C115"/>
    <mergeCell ref="B116:C116"/>
    <mergeCell ref="B117:C117"/>
    <mergeCell ref="B118:C118"/>
    <mergeCell ref="B119:C119"/>
    <mergeCell ref="B110:C110"/>
    <mergeCell ref="B111:C111"/>
    <mergeCell ref="B112:C112"/>
    <mergeCell ref="B113:C113"/>
    <mergeCell ref="B114:C114"/>
    <mergeCell ref="B125:C125"/>
    <mergeCell ref="B126:C126"/>
    <mergeCell ref="B127:C127"/>
    <mergeCell ref="B128:C128"/>
    <mergeCell ref="B129:C129"/>
    <mergeCell ref="B120:C120"/>
    <mergeCell ref="B121:C121"/>
    <mergeCell ref="B122:C122"/>
    <mergeCell ref="B123:C123"/>
    <mergeCell ref="B124:C124"/>
    <mergeCell ref="B140:C140"/>
    <mergeCell ref="B141:C141"/>
    <mergeCell ref="B135:C135"/>
    <mergeCell ref="B136:C136"/>
    <mergeCell ref="B137:C137"/>
    <mergeCell ref="B138:C138"/>
    <mergeCell ref="B139:C139"/>
    <mergeCell ref="B130:C130"/>
    <mergeCell ref="B131:C131"/>
    <mergeCell ref="B132:C132"/>
    <mergeCell ref="B133:C133"/>
    <mergeCell ref="B134:C13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549F2-A66C-43F1-8B7E-B9FC6B9E004D}">
  <dimension ref="A1:F172"/>
  <sheetViews>
    <sheetView workbookViewId="0">
      <selection activeCell="E11" sqref="E11"/>
    </sheetView>
  </sheetViews>
  <sheetFormatPr defaultRowHeight="15" x14ac:dyDescent="0.25"/>
  <cols>
    <col min="1" max="1" width="11" customWidth="1"/>
    <col min="2" max="2" width="11.85546875" customWidth="1"/>
    <col min="3" max="3" width="13" customWidth="1"/>
    <col min="4" max="4" width="21.140625" customWidth="1"/>
    <col min="5" max="5" width="17.140625" customWidth="1"/>
    <col min="6" max="6" width="16.140625" customWidth="1"/>
  </cols>
  <sheetData>
    <row r="1" spans="1:6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6" x14ac:dyDescent="0.25">
      <c r="A2" t="s">
        <v>68</v>
      </c>
      <c r="B2" s="4">
        <v>42.54</v>
      </c>
      <c r="C2" s="3">
        <v>-2.34009360374414</v>
      </c>
      <c r="D2" s="7">
        <f>B2*C2/100</f>
        <v>-0.99547581903275717</v>
      </c>
    </row>
    <row r="3" spans="1:6" x14ac:dyDescent="0.25">
      <c r="A3" t="s">
        <v>69</v>
      </c>
      <c r="B3" s="4">
        <v>32.340000000000003</v>
      </c>
      <c r="C3" s="3">
        <v>-1.2878300064391499</v>
      </c>
      <c r="D3" s="7">
        <f t="shared" ref="D3:D7" si="0">B3*C3/100</f>
        <v>-0.41648422408242114</v>
      </c>
    </row>
    <row r="4" spans="1:6" x14ac:dyDescent="0.25">
      <c r="A4" t="s">
        <v>70</v>
      </c>
      <c r="B4" s="4">
        <v>12.21</v>
      </c>
      <c r="C4" s="3">
        <v>-3.6923076923076898</v>
      </c>
      <c r="D4" s="7">
        <f t="shared" si="0"/>
        <v>-0.45083076923076892</v>
      </c>
    </row>
    <row r="5" spans="1:6" x14ac:dyDescent="0.25">
      <c r="A5" t="s">
        <v>71</v>
      </c>
      <c r="B5" s="4">
        <v>10.92</v>
      </c>
      <c r="C5" s="3">
        <v>1.8966908797417199</v>
      </c>
      <c r="D5" s="7">
        <f t="shared" si="0"/>
        <v>0.20711864406779582</v>
      </c>
    </row>
    <row r="6" spans="1:6" x14ac:dyDescent="0.25">
      <c r="A6" t="s">
        <v>72</v>
      </c>
      <c r="B6" s="4">
        <v>5.89</v>
      </c>
      <c r="C6" s="3">
        <v>-0.26939655172413701</v>
      </c>
      <c r="D6" s="7">
        <f t="shared" si="0"/>
        <v>-1.5867456896551668E-2</v>
      </c>
    </row>
    <row r="7" spans="1:6" x14ac:dyDescent="0.25">
      <c r="A7" t="s">
        <v>73</v>
      </c>
      <c r="B7" s="4">
        <v>5.68</v>
      </c>
      <c r="C7" s="3">
        <v>-2.45398773006134</v>
      </c>
      <c r="D7" s="7">
        <f t="shared" si="0"/>
        <v>-0.1393865030674841</v>
      </c>
    </row>
    <row r="8" spans="1:6" x14ac:dyDescent="0.25">
      <c r="A8" s="16" t="s">
        <v>63</v>
      </c>
      <c r="B8" s="5">
        <f>B2+B3+B4+B5+B6+B7</f>
        <v>109.58000000000001</v>
      </c>
      <c r="C8" s="5"/>
      <c r="D8" s="6">
        <f>D2+D3+D4+D5+D6+D7</f>
        <v>-1.8109261282421869</v>
      </c>
    </row>
    <row r="9" spans="1:6" x14ac:dyDescent="0.25">
      <c r="B9" s="4"/>
      <c r="C9" s="3"/>
      <c r="D9" s="7"/>
    </row>
    <row r="10" spans="1:6" x14ac:dyDescent="0.25">
      <c r="B10" s="4"/>
      <c r="C10" s="3"/>
      <c r="D10" s="7"/>
    </row>
    <row r="11" spans="1:6" x14ac:dyDescent="0.25">
      <c r="B11" s="4"/>
      <c r="C11" s="5"/>
      <c r="D11" s="7"/>
    </row>
    <row r="12" spans="1:6" x14ac:dyDescent="0.25">
      <c r="C12" s="4"/>
      <c r="D12" s="4"/>
      <c r="E12" s="4"/>
      <c r="F12" s="4"/>
    </row>
    <row r="13" spans="1:6" x14ac:dyDescent="0.25">
      <c r="A13" s="26"/>
      <c r="B13" s="26"/>
      <c r="C13" s="4"/>
      <c r="D13" s="4"/>
      <c r="E13" s="4"/>
      <c r="F13" s="17"/>
    </row>
    <row r="14" spans="1:6" x14ac:dyDescent="0.25">
      <c r="A14" s="26"/>
      <c r="B14" s="26"/>
      <c r="C14" s="9"/>
      <c r="D14" s="9"/>
      <c r="E14" s="17"/>
    </row>
    <row r="15" spans="1:6" x14ac:dyDescent="0.25">
      <c r="A15" s="4"/>
      <c r="B15" s="4"/>
      <c r="C15" s="3"/>
      <c r="D15" s="7"/>
    </row>
    <row r="16" spans="1:6" x14ac:dyDescent="0.25">
      <c r="A16" s="4"/>
      <c r="B16" s="4"/>
      <c r="C16" s="3"/>
      <c r="D16" s="7"/>
    </row>
    <row r="37" spans="1:6" x14ac:dyDescent="0.25">
      <c r="A37" s="5" t="s">
        <v>74</v>
      </c>
      <c r="B37" s="27" t="s">
        <v>52</v>
      </c>
      <c r="C37" s="27"/>
      <c r="D37" s="20" t="s">
        <v>53</v>
      </c>
      <c r="E37" s="5" t="s">
        <v>67</v>
      </c>
      <c r="F37" s="5" t="s">
        <v>75</v>
      </c>
    </row>
    <row r="38" spans="1:6" x14ac:dyDescent="0.25">
      <c r="A38" s="23">
        <v>46226</v>
      </c>
      <c r="B38" s="26">
        <v>6356</v>
      </c>
      <c r="C38" s="26"/>
      <c r="D38" s="21">
        <v>1033181017</v>
      </c>
      <c r="E38" s="21">
        <v>95865997</v>
      </c>
      <c r="F38" s="24">
        <v>5.4000000000000003E-3</v>
      </c>
    </row>
    <row r="39" spans="1:6" x14ac:dyDescent="0.25">
      <c r="A39" s="23">
        <v>46227</v>
      </c>
      <c r="B39" s="26">
        <v>6609</v>
      </c>
      <c r="C39" s="26"/>
      <c r="D39" s="21">
        <v>1076556627</v>
      </c>
      <c r="E39" s="21">
        <v>42490384</v>
      </c>
      <c r="F39" s="24">
        <v>-8.9999999999999998E-4</v>
      </c>
    </row>
    <row r="40" spans="1:6" x14ac:dyDescent="0.25">
      <c r="A40" s="23">
        <v>46230</v>
      </c>
      <c r="B40" s="26">
        <v>6906</v>
      </c>
      <c r="C40" s="26"/>
      <c r="D40" s="21">
        <v>1167160796</v>
      </c>
      <c r="E40" s="21">
        <v>99781628</v>
      </c>
      <c r="F40" s="24">
        <v>-8.5000000000000006E-3</v>
      </c>
    </row>
    <row r="41" spans="1:6" x14ac:dyDescent="0.25">
      <c r="A41" s="23">
        <v>46231</v>
      </c>
      <c r="B41" s="26">
        <v>7221</v>
      </c>
      <c r="C41" s="26"/>
      <c r="D41" s="21">
        <v>1220111851</v>
      </c>
      <c r="E41" s="21">
        <v>60385808</v>
      </c>
      <c r="F41" s="24">
        <v>-6.4000000000000003E-3</v>
      </c>
    </row>
    <row r="42" spans="1:6" x14ac:dyDescent="0.25">
      <c r="A42" s="23">
        <v>46232</v>
      </c>
      <c r="B42" s="26">
        <v>7429</v>
      </c>
      <c r="C42" s="26"/>
      <c r="D42" s="21">
        <v>1191517169</v>
      </c>
      <c r="E42" s="21">
        <v>-26002641</v>
      </c>
      <c r="F42" s="24">
        <v>-2.0999999999999999E-3</v>
      </c>
    </row>
    <row r="43" spans="1:6" x14ac:dyDescent="0.25">
      <c r="A43" s="23"/>
      <c r="B43" s="26"/>
      <c r="C43" s="26"/>
      <c r="D43" s="21"/>
      <c r="E43" s="21"/>
      <c r="F43" s="24"/>
    </row>
    <row r="44" spans="1:6" x14ac:dyDescent="0.25">
      <c r="A44" s="23"/>
      <c r="B44" s="26"/>
      <c r="C44" s="26"/>
      <c r="D44" s="21"/>
      <c r="E44" s="21"/>
      <c r="F44" s="24"/>
    </row>
    <row r="45" spans="1:6" x14ac:dyDescent="0.25">
      <c r="A45" s="23"/>
      <c r="B45" s="26"/>
      <c r="C45" s="26"/>
      <c r="D45" s="21"/>
      <c r="E45" s="21"/>
      <c r="F45" s="24"/>
    </row>
    <row r="46" spans="1:6" x14ac:dyDescent="0.25">
      <c r="A46" s="23"/>
      <c r="B46" s="26"/>
      <c r="C46" s="26"/>
      <c r="D46" s="21"/>
      <c r="E46" s="21"/>
      <c r="F46" s="24"/>
    </row>
    <row r="47" spans="1:6" x14ac:dyDescent="0.25">
      <c r="A47" s="23"/>
      <c r="B47" s="26"/>
      <c r="C47" s="26"/>
      <c r="D47" s="21"/>
      <c r="E47" s="21"/>
      <c r="F47" s="24"/>
    </row>
    <row r="48" spans="1:6" x14ac:dyDescent="0.25">
      <c r="A48" s="23"/>
      <c r="B48" s="26"/>
      <c r="C48" s="26"/>
      <c r="D48" s="21"/>
      <c r="E48" s="21"/>
      <c r="F48" s="24"/>
    </row>
    <row r="49" spans="1:6" x14ac:dyDescent="0.25">
      <c r="A49" s="23"/>
      <c r="B49" s="26"/>
      <c r="C49" s="26"/>
      <c r="D49" s="21"/>
      <c r="E49" s="21"/>
      <c r="F49" s="24"/>
    </row>
    <row r="50" spans="1:6" x14ac:dyDescent="0.25">
      <c r="A50" s="23"/>
      <c r="B50" s="26"/>
      <c r="C50" s="26"/>
      <c r="D50" s="21"/>
      <c r="E50" s="21"/>
      <c r="F50" s="24"/>
    </row>
    <row r="51" spans="1:6" x14ac:dyDescent="0.25">
      <c r="A51" s="23"/>
      <c r="B51" s="26"/>
      <c r="C51" s="26"/>
      <c r="D51" s="21"/>
      <c r="E51" s="21"/>
      <c r="F51" s="24"/>
    </row>
    <row r="52" spans="1:6" x14ac:dyDescent="0.25">
      <c r="A52" s="23"/>
      <c r="B52" s="26"/>
      <c r="C52" s="26"/>
      <c r="D52" s="21"/>
      <c r="E52" s="21"/>
      <c r="F52" s="24"/>
    </row>
    <row r="53" spans="1:6" x14ac:dyDescent="0.25">
      <c r="A53" s="23"/>
      <c r="B53" s="26"/>
      <c r="C53" s="26"/>
      <c r="D53" s="21"/>
      <c r="E53" s="21"/>
      <c r="F53" s="24"/>
    </row>
    <row r="54" spans="1:6" x14ac:dyDescent="0.25">
      <c r="A54" s="23"/>
      <c r="B54" s="26"/>
      <c r="C54" s="26"/>
      <c r="D54" s="21"/>
      <c r="E54" s="21"/>
      <c r="F54" s="24"/>
    </row>
    <row r="55" spans="1:6" x14ac:dyDescent="0.25">
      <c r="A55" s="23"/>
      <c r="B55" s="26"/>
      <c r="C55" s="26"/>
      <c r="D55" s="21"/>
      <c r="E55" s="21"/>
      <c r="F55" s="24"/>
    </row>
    <row r="56" spans="1:6" x14ac:dyDescent="0.25">
      <c r="A56" s="23"/>
      <c r="B56" s="26"/>
      <c r="C56" s="26"/>
      <c r="D56" s="21"/>
      <c r="E56" s="21"/>
      <c r="F56" s="24"/>
    </row>
    <row r="57" spans="1:6" x14ac:dyDescent="0.25">
      <c r="A57" s="23"/>
      <c r="B57" s="26"/>
      <c r="C57" s="26"/>
      <c r="D57" s="21"/>
      <c r="E57" s="21"/>
      <c r="F57" s="24"/>
    </row>
    <row r="58" spans="1:6" x14ac:dyDescent="0.25">
      <c r="A58" s="23"/>
      <c r="B58" s="26"/>
      <c r="C58" s="26"/>
      <c r="D58" s="21"/>
      <c r="E58" s="21"/>
      <c r="F58" s="24"/>
    </row>
    <row r="59" spans="1:6" x14ac:dyDescent="0.25">
      <c r="A59" s="23"/>
      <c r="B59" s="26"/>
      <c r="C59" s="26"/>
      <c r="D59" s="21"/>
      <c r="E59" s="21"/>
      <c r="F59" s="24"/>
    </row>
    <row r="60" spans="1:6" x14ac:dyDescent="0.25">
      <c r="A60" s="23"/>
      <c r="B60" s="26"/>
      <c r="C60" s="26"/>
      <c r="D60" s="21"/>
      <c r="E60" s="21"/>
      <c r="F60" s="24"/>
    </row>
    <row r="61" spans="1:6" x14ac:dyDescent="0.25">
      <c r="A61" s="23"/>
      <c r="B61" s="26"/>
      <c r="C61" s="26"/>
      <c r="D61" s="21"/>
      <c r="E61" s="21"/>
      <c r="F61" s="24"/>
    </row>
    <row r="62" spans="1:6" x14ac:dyDescent="0.25">
      <c r="A62" s="23"/>
      <c r="B62" s="26"/>
      <c r="C62" s="26"/>
      <c r="D62" s="21"/>
      <c r="E62" s="21"/>
      <c r="F62" s="24"/>
    </row>
    <row r="63" spans="1:6" x14ac:dyDescent="0.25">
      <c r="A63" s="23"/>
      <c r="B63" s="26"/>
      <c r="C63" s="26"/>
      <c r="D63" s="21"/>
      <c r="E63" s="21"/>
      <c r="F63" s="24"/>
    </row>
    <row r="64" spans="1:6" x14ac:dyDescent="0.25">
      <c r="A64" s="23"/>
      <c r="B64" s="26"/>
      <c r="C64" s="26"/>
      <c r="D64" s="21"/>
      <c r="E64" s="21"/>
      <c r="F64" s="24"/>
    </row>
    <row r="65" spans="1:6" x14ac:dyDescent="0.25">
      <c r="A65" s="23"/>
      <c r="B65" s="26"/>
      <c r="C65" s="26"/>
      <c r="D65" s="21"/>
      <c r="E65" s="21"/>
      <c r="F65" s="24"/>
    </row>
    <row r="66" spans="1:6" x14ac:dyDescent="0.25">
      <c r="A66" s="23"/>
      <c r="B66" s="26"/>
      <c r="C66" s="26"/>
      <c r="D66" s="21"/>
      <c r="E66" s="21"/>
      <c r="F66" s="24"/>
    </row>
    <row r="67" spans="1:6" x14ac:dyDescent="0.25">
      <c r="A67" s="23"/>
      <c r="B67" s="26"/>
      <c r="C67" s="26"/>
      <c r="D67" s="21"/>
      <c r="E67" s="21"/>
      <c r="F67" s="24"/>
    </row>
    <row r="68" spans="1:6" x14ac:dyDescent="0.25">
      <c r="A68" s="23"/>
      <c r="B68" s="26"/>
      <c r="C68" s="26"/>
      <c r="D68" s="21"/>
      <c r="E68" s="21"/>
      <c r="F68" s="24"/>
    </row>
    <row r="69" spans="1:6" x14ac:dyDescent="0.25">
      <c r="A69" s="23"/>
      <c r="B69" s="26"/>
      <c r="C69" s="26"/>
      <c r="D69" s="21"/>
      <c r="E69" s="21"/>
      <c r="F69" s="24"/>
    </row>
    <row r="70" spans="1:6" x14ac:dyDescent="0.25">
      <c r="A70" s="23"/>
      <c r="B70" s="26"/>
      <c r="C70" s="26"/>
      <c r="D70" s="21"/>
      <c r="E70" s="21"/>
      <c r="F70" s="24"/>
    </row>
    <row r="71" spans="1:6" x14ac:dyDescent="0.25">
      <c r="A71" s="23"/>
      <c r="B71" s="26"/>
      <c r="C71" s="26"/>
      <c r="D71" s="21"/>
      <c r="E71" s="21"/>
      <c r="F71" s="24"/>
    </row>
    <row r="72" spans="1:6" x14ac:dyDescent="0.25">
      <c r="A72" s="23"/>
      <c r="B72" s="26"/>
      <c r="C72" s="26"/>
      <c r="D72" s="21"/>
      <c r="E72" s="21"/>
      <c r="F72" s="24"/>
    </row>
    <row r="73" spans="1:6" x14ac:dyDescent="0.25">
      <c r="A73" s="23"/>
      <c r="B73" s="26"/>
      <c r="C73" s="26"/>
      <c r="D73" s="21"/>
      <c r="E73" s="21"/>
      <c r="F73" s="24"/>
    </row>
    <row r="74" spans="1:6" x14ac:dyDescent="0.25">
      <c r="A74" s="23"/>
      <c r="B74" s="26"/>
      <c r="C74" s="26"/>
      <c r="D74" s="21"/>
      <c r="E74" s="21"/>
      <c r="F74" s="24"/>
    </row>
    <row r="75" spans="1:6" x14ac:dyDescent="0.25">
      <c r="A75" s="23"/>
      <c r="B75" s="26"/>
      <c r="C75" s="26"/>
      <c r="D75" s="21"/>
      <c r="E75" s="21"/>
      <c r="F75" s="24"/>
    </row>
    <row r="76" spans="1:6" x14ac:dyDescent="0.25">
      <c r="A76" s="23"/>
      <c r="B76" s="26"/>
      <c r="C76" s="26"/>
      <c r="D76" s="21"/>
      <c r="E76" s="21"/>
      <c r="F76" s="24"/>
    </row>
    <row r="77" spans="1:6" x14ac:dyDescent="0.25">
      <c r="A77" s="23"/>
      <c r="B77" s="26"/>
      <c r="C77" s="26"/>
      <c r="D77" s="21"/>
      <c r="E77" s="21"/>
      <c r="F77" s="24"/>
    </row>
    <row r="78" spans="1:6" x14ac:dyDescent="0.25">
      <c r="A78" s="23"/>
      <c r="B78" s="26"/>
      <c r="C78" s="26"/>
      <c r="D78" s="21"/>
      <c r="E78" s="21"/>
      <c r="F78" s="24"/>
    </row>
    <row r="79" spans="1:6" x14ac:dyDescent="0.25">
      <c r="A79" s="23"/>
      <c r="B79" s="26"/>
      <c r="C79" s="26"/>
      <c r="D79" s="21"/>
      <c r="E79" s="21"/>
      <c r="F79" s="24"/>
    </row>
    <row r="80" spans="1:6" x14ac:dyDescent="0.25">
      <c r="A80" s="23"/>
      <c r="B80" s="26"/>
      <c r="C80" s="26"/>
      <c r="D80" s="21"/>
      <c r="E80" s="21"/>
      <c r="F80" s="24"/>
    </row>
    <row r="81" spans="1:6" x14ac:dyDescent="0.25">
      <c r="A81" s="23"/>
      <c r="B81" s="26"/>
      <c r="C81" s="26"/>
      <c r="D81" s="21"/>
      <c r="E81" s="21"/>
      <c r="F81" s="24"/>
    </row>
    <row r="82" spans="1:6" x14ac:dyDescent="0.25">
      <c r="A82" s="23"/>
      <c r="B82" s="26"/>
      <c r="C82" s="26"/>
      <c r="D82" s="21"/>
      <c r="E82" s="21"/>
      <c r="F82" s="24"/>
    </row>
    <row r="83" spans="1:6" x14ac:dyDescent="0.25">
      <c r="A83" s="23"/>
      <c r="B83" s="26"/>
      <c r="C83" s="26"/>
      <c r="D83" s="21"/>
      <c r="E83" s="21"/>
      <c r="F83" s="24"/>
    </row>
    <row r="84" spans="1:6" x14ac:dyDescent="0.25">
      <c r="A84" s="23"/>
      <c r="B84" s="26"/>
      <c r="C84" s="26"/>
      <c r="D84" s="21"/>
      <c r="E84" s="21"/>
      <c r="F84" s="24"/>
    </row>
    <row r="85" spans="1:6" x14ac:dyDescent="0.25">
      <c r="A85" s="23"/>
      <c r="B85" s="26"/>
      <c r="C85" s="26"/>
      <c r="D85" s="21"/>
      <c r="E85" s="21"/>
      <c r="F85" s="24"/>
    </row>
    <row r="86" spans="1:6" x14ac:dyDescent="0.25">
      <c r="A86" s="23"/>
      <c r="B86" s="26"/>
      <c r="C86" s="26"/>
      <c r="D86" s="21"/>
      <c r="E86" s="21"/>
      <c r="F86" s="24"/>
    </row>
    <row r="87" spans="1:6" x14ac:dyDescent="0.25">
      <c r="A87" s="23"/>
      <c r="B87" s="26"/>
      <c r="C87" s="26"/>
      <c r="D87" s="21"/>
      <c r="E87" s="21"/>
      <c r="F87" s="24"/>
    </row>
    <row r="88" spans="1:6" x14ac:dyDescent="0.25">
      <c r="A88" s="23"/>
      <c r="B88" s="26"/>
      <c r="C88" s="26"/>
      <c r="D88" s="21"/>
      <c r="E88" s="21"/>
      <c r="F88" s="24"/>
    </row>
    <row r="89" spans="1:6" x14ac:dyDescent="0.25">
      <c r="A89" s="23"/>
      <c r="B89" s="26"/>
      <c r="C89" s="26"/>
      <c r="D89" s="21"/>
      <c r="E89" s="21"/>
      <c r="F89" s="24"/>
    </row>
    <row r="90" spans="1:6" x14ac:dyDescent="0.25">
      <c r="A90" s="23"/>
      <c r="B90" s="26"/>
      <c r="C90" s="26"/>
      <c r="D90" s="21"/>
      <c r="E90" s="21"/>
      <c r="F90" s="24"/>
    </row>
    <row r="91" spans="1:6" x14ac:dyDescent="0.25">
      <c r="A91" s="23"/>
      <c r="B91" s="26"/>
      <c r="C91" s="26"/>
      <c r="D91" s="21"/>
      <c r="E91" s="21"/>
      <c r="F91" s="24"/>
    </row>
    <row r="92" spans="1:6" x14ac:dyDescent="0.25">
      <c r="A92" s="23"/>
      <c r="B92" s="26"/>
      <c r="C92" s="26"/>
      <c r="D92" s="21"/>
      <c r="E92" s="21"/>
      <c r="F92" s="24"/>
    </row>
    <row r="93" spans="1:6" x14ac:dyDescent="0.25">
      <c r="A93" s="23"/>
      <c r="B93" s="26"/>
      <c r="C93" s="26"/>
      <c r="D93" s="21"/>
      <c r="E93" s="21"/>
      <c r="F93" s="24"/>
    </row>
    <row r="94" spans="1:6" x14ac:dyDescent="0.25">
      <c r="A94" s="23"/>
      <c r="B94" s="26"/>
      <c r="C94" s="26"/>
      <c r="D94" s="21"/>
      <c r="E94" s="21"/>
      <c r="F94" s="24"/>
    </row>
    <row r="95" spans="1:6" x14ac:dyDescent="0.25">
      <c r="A95" s="23"/>
      <c r="B95" s="26"/>
      <c r="C95" s="26"/>
      <c r="D95" s="21"/>
      <c r="E95" s="21"/>
      <c r="F95" s="24"/>
    </row>
    <row r="96" spans="1:6" x14ac:dyDescent="0.25">
      <c r="A96" s="23"/>
      <c r="B96" s="26"/>
      <c r="C96" s="26"/>
      <c r="D96" s="21"/>
      <c r="E96" s="21"/>
      <c r="F96" s="24"/>
    </row>
    <row r="97" spans="1:6" x14ac:dyDescent="0.25">
      <c r="A97" s="23"/>
      <c r="B97" s="26"/>
      <c r="C97" s="26"/>
      <c r="D97" s="21"/>
      <c r="E97" s="21"/>
      <c r="F97" s="24"/>
    </row>
    <row r="98" spans="1:6" x14ac:dyDescent="0.25">
      <c r="A98" s="23"/>
      <c r="B98" s="26"/>
      <c r="C98" s="26"/>
      <c r="D98" s="21"/>
      <c r="E98" s="21"/>
      <c r="F98" s="24"/>
    </row>
    <row r="99" spans="1:6" x14ac:dyDescent="0.25">
      <c r="A99" s="23"/>
      <c r="B99" s="26"/>
      <c r="C99" s="26"/>
      <c r="D99" s="21"/>
      <c r="E99" s="21"/>
      <c r="F99" s="24"/>
    </row>
    <row r="100" spans="1:6" x14ac:dyDescent="0.25">
      <c r="A100" s="23"/>
      <c r="B100" s="26"/>
      <c r="C100" s="26"/>
      <c r="D100" s="21"/>
      <c r="E100" s="21"/>
      <c r="F100" s="24"/>
    </row>
    <row r="101" spans="1:6" x14ac:dyDescent="0.25">
      <c r="A101" s="23"/>
      <c r="B101" s="26"/>
      <c r="C101" s="26"/>
      <c r="D101" s="21"/>
      <c r="E101" s="21"/>
      <c r="F101" s="24"/>
    </row>
    <row r="102" spans="1:6" x14ac:dyDescent="0.25">
      <c r="A102" s="23"/>
      <c r="B102" s="26"/>
      <c r="C102" s="26"/>
      <c r="D102" s="21"/>
      <c r="E102" s="21"/>
      <c r="F102" s="24"/>
    </row>
    <row r="103" spans="1:6" x14ac:dyDescent="0.25">
      <c r="A103" s="23"/>
      <c r="B103" s="26"/>
      <c r="C103" s="26"/>
      <c r="D103" s="21"/>
      <c r="E103" s="21"/>
      <c r="F103" s="24"/>
    </row>
    <row r="104" spans="1:6" x14ac:dyDescent="0.25">
      <c r="A104" s="23"/>
      <c r="B104" s="26"/>
      <c r="C104" s="26"/>
      <c r="D104" s="21"/>
      <c r="E104" s="21"/>
      <c r="F104" s="24"/>
    </row>
    <row r="105" spans="1:6" x14ac:dyDescent="0.25">
      <c r="A105" s="23"/>
      <c r="B105" s="26"/>
      <c r="C105" s="26"/>
      <c r="D105" s="21"/>
      <c r="E105" s="21"/>
      <c r="F105" s="24"/>
    </row>
    <row r="106" spans="1:6" x14ac:dyDescent="0.25">
      <c r="A106" s="23"/>
      <c r="B106" s="26"/>
      <c r="C106" s="26"/>
      <c r="D106" s="21"/>
      <c r="E106" s="21"/>
      <c r="F106" s="24"/>
    </row>
    <row r="107" spans="1:6" x14ac:dyDescent="0.25">
      <c r="A107" s="23"/>
      <c r="B107" s="26"/>
      <c r="C107" s="26"/>
      <c r="D107" s="21"/>
      <c r="E107" s="21"/>
      <c r="F107" s="24"/>
    </row>
    <row r="108" spans="1:6" x14ac:dyDescent="0.25">
      <c r="A108" s="23"/>
      <c r="B108" s="26"/>
      <c r="C108" s="26"/>
      <c r="D108" s="21"/>
      <c r="E108" s="21"/>
      <c r="F108" s="24"/>
    </row>
    <row r="109" spans="1:6" x14ac:dyDescent="0.25">
      <c r="A109" s="23"/>
      <c r="B109" s="26"/>
      <c r="C109" s="26"/>
      <c r="D109" s="21"/>
      <c r="E109" s="21"/>
      <c r="F109" s="24"/>
    </row>
    <row r="110" spans="1:6" x14ac:dyDescent="0.25">
      <c r="A110" s="23"/>
      <c r="B110" s="26"/>
      <c r="C110" s="26"/>
      <c r="D110" s="21"/>
      <c r="E110" s="21"/>
      <c r="F110" s="24"/>
    </row>
    <row r="111" spans="1:6" x14ac:dyDescent="0.25">
      <c r="A111" s="23"/>
      <c r="B111" s="26"/>
      <c r="C111" s="26"/>
      <c r="D111" s="21"/>
      <c r="E111" s="21"/>
      <c r="F111" s="24"/>
    </row>
    <row r="112" spans="1:6" x14ac:dyDescent="0.25">
      <c r="A112" s="23"/>
      <c r="B112" s="26"/>
      <c r="C112" s="26"/>
      <c r="D112" s="21"/>
      <c r="E112" s="21"/>
      <c r="F112" s="24"/>
    </row>
    <row r="113" spans="1:6" x14ac:dyDescent="0.25">
      <c r="A113" s="23"/>
      <c r="B113" s="26"/>
      <c r="C113" s="26"/>
      <c r="D113" s="21"/>
      <c r="E113" s="21"/>
      <c r="F113" s="24"/>
    </row>
    <row r="114" spans="1:6" x14ac:dyDescent="0.25">
      <c r="A114" s="23"/>
      <c r="B114" s="26"/>
      <c r="C114" s="26"/>
      <c r="D114" s="21"/>
      <c r="E114" s="21"/>
      <c r="F114" s="24"/>
    </row>
    <row r="115" spans="1:6" x14ac:dyDescent="0.25">
      <c r="A115" s="23"/>
      <c r="B115" s="26"/>
      <c r="C115" s="26"/>
      <c r="D115" s="21"/>
      <c r="E115" s="21"/>
      <c r="F115" s="24"/>
    </row>
    <row r="116" spans="1:6" x14ac:dyDescent="0.25">
      <c r="A116" s="23"/>
      <c r="B116" s="26"/>
      <c r="C116" s="26"/>
      <c r="D116" s="21"/>
      <c r="E116" s="21"/>
      <c r="F116" s="24"/>
    </row>
    <row r="117" spans="1:6" x14ac:dyDescent="0.25">
      <c r="A117" s="23"/>
      <c r="B117" s="26"/>
      <c r="C117" s="26"/>
      <c r="D117" s="21"/>
      <c r="E117" s="21"/>
      <c r="F117" s="24"/>
    </row>
    <row r="118" spans="1:6" x14ac:dyDescent="0.25">
      <c r="A118" s="23"/>
      <c r="B118" s="26"/>
      <c r="C118" s="26"/>
      <c r="D118" s="21"/>
      <c r="E118" s="21"/>
      <c r="F118" s="24"/>
    </row>
    <row r="119" spans="1:6" x14ac:dyDescent="0.25">
      <c r="A119" s="23"/>
      <c r="B119" s="26"/>
      <c r="C119" s="26"/>
      <c r="D119" s="21"/>
      <c r="E119" s="21"/>
      <c r="F119" s="24"/>
    </row>
    <row r="120" spans="1:6" x14ac:dyDescent="0.25">
      <c r="A120" s="23"/>
      <c r="B120" s="26"/>
      <c r="C120" s="26"/>
      <c r="D120" s="21"/>
      <c r="E120" s="21"/>
      <c r="F120" s="24"/>
    </row>
    <row r="121" spans="1:6" x14ac:dyDescent="0.25">
      <c r="A121" s="23"/>
      <c r="B121" s="26"/>
      <c r="C121" s="26"/>
      <c r="D121" s="21"/>
      <c r="E121" s="21"/>
      <c r="F121" s="24"/>
    </row>
    <row r="122" spans="1:6" x14ac:dyDescent="0.25">
      <c r="A122" s="23"/>
      <c r="B122" s="26"/>
      <c r="C122" s="26"/>
      <c r="D122" s="21"/>
      <c r="E122" s="21"/>
      <c r="F122" s="24"/>
    </row>
    <row r="123" spans="1:6" x14ac:dyDescent="0.25">
      <c r="A123" s="23"/>
      <c r="B123" s="26"/>
      <c r="C123" s="26"/>
      <c r="D123" s="21"/>
      <c r="E123" s="21"/>
      <c r="F123" s="24"/>
    </row>
    <row r="124" spans="1:6" x14ac:dyDescent="0.25">
      <c r="A124" s="23"/>
      <c r="B124" s="26"/>
      <c r="C124" s="26"/>
      <c r="D124" s="21"/>
      <c r="E124" s="21"/>
      <c r="F124" s="24"/>
    </row>
    <row r="125" spans="1:6" x14ac:dyDescent="0.25">
      <c r="A125" s="23"/>
      <c r="B125" s="26"/>
      <c r="C125" s="26"/>
      <c r="D125" s="21"/>
      <c r="E125" s="21"/>
      <c r="F125" s="24"/>
    </row>
    <row r="126" spans="1:6" x14ac:dyDescent="0.25">
      <c r="A126" s="23"/>
      <c r="B126" s="26"/>
      <c r="C126" s="26"/>
      <c r="D126" s="21"/>
      <c r="E126" s="21"/>
      <c r="F126" s="24"/>
    </row>
    <row r="127" spans="1:6" x14ac:dyDescent="0.25">
      <c r="A127" s="23"/>
      <c r="B127" s="26"/>
      <c r="C127" s="26"/>
      <c r="D127" s="21"/>
      <c r="E127" s="21"/>
      <c r="F127" s="24"/>
    </row>
    <row r="128" spans="1:6" x14ac:dyDescent="0.25">
      <c r="A128" s="23"/>
      <c r="B128" s="26"/>
      <c r="C128" s="26"/>
      <c r="D128" s="21"/>
      <c r="E128" s="21"/>
      <c r="F128" s="24"/>
    </row>
    <row r="129" spans="1:6" x14ac:dyDescent="0.25">
      <c r="A129" s="23"/>
      <c r="B129" s="26"/>
      <c r="C129" s="26"/>
      <c r="D129" s="21"/>
      <c r="E129" s="21"/>
      <c r="F129" s="24"/>
    </row>
    <row r="130" spans="1:6" x14ac:dyDescent="0.25">
      <c r="A130" s="23"/>
      <c r="B130" s="26"/>
      <c r="C130" s="26"/>
      <c r="D130" s="21"/>
      <c r="E130" s="21"/>
      <c r="F130" s="24"/>
    </row>
    <row r="131" spans="1:6" x14ac:dyDescent="0.25">
      <c r="A131" s="23"/>
      <c r="B131" s="26"/>
      <c r="C131" s="26"/>
      <c r="D131" s="21"/>
      <c r="E131" s="21"/>
      <c r="F131" s="24"/>
    </row>
    <row r="132" spans="1:6" x14ac:dyDescent="0.25">
      <c r="A132" s="23"/>
      <c r="B132" s="26"/>
      <c r="C132" s="26"/>
      <c r="D132" s="21"/>
      <c r="E132" s="21"/>
      <c r="F132" s="24"/>
    </row>
    <row r="133" spans="1:6" x14ac:dyDescent="0.25">
      <c r="A133" s="23"/>
      <c r="B133" s="26"/>
      <c r="C133" s="26"/>
      <c r="D133" s="21"/>
      <c r="E133" s="21"/>
      <c r="F133" s="24"/>
    </row>
    <row r="134" spans="1:6" x14ac:dyDescent="0.25">
      <c r="A134" s="23"/>
      <c r="B134" s="26"/>
      <c r="C134" s="26"/>
      <c r="D134" s="21"/>
      <c r="E134" s="21"/>
      <c r="F134" s="24"/>
    </row>
    <row r="135" spans="1:6" x14ac:dyDescent="0.25">
      <c r="A135" s="23"/>
      <c r="B135" s="26"/>
      <c r="C135" s="26"/>
      <c r="D135" s="21"/>
      <c r="E135" s="21"/>
      <c r="F135" s="24"/>
    </row>
    <row r="136" spans="1:6" x14ac:dyDescent="0.25">
      <c r="A136" s="23"/>
      <c r="B136" s="26"/>
      <c r="C136" s="26"/>
      <c r="D136" s="21"/>
      <c r="E136" s="21"/>
      <c r="F136" s="24"/>
    </row>
    <row r="137" spans="1:6" x14ac:dyDescent="0.25">
      <c r="A137" s="23"/>
      <c r="B137" s="26"/>
      <c r="C137" s="26"/>
      <c r="D137" s="21"/>
      <c r="E137" s="21"/>
      <c r="F137" s="24"/>
    </row>
    <row r="138" spans="1:6" x14ac:dyDescent="0.25">
      <c r="A138" s="23"/>
      <c r="B138" s="26"/>
      <c r="C138" s="26"/>
      <c r="D138" s="21"/>
      <c r="E138" s="21"/>
      <c r="F138" s="24"/>
    </row>
    <row r="139" spans="1:6" x14ac:dyDescent="0.25">
      <c r="A139" s="23"/>
      <c r="B139" s="26"/>
      <c r="C139" s="26"/>
      <c r="D139" s="21"/>
      <c r="E139" s="21"/>
      <c r="F139" s="24"/>
    </row>
    <row r="140" spans="1:6" x14ac:dyDescent="0.25">
      <c r="A140" s="23"/>
      <c r="B140" s="26"/>
      <c r="C140" s="26"/>
      <c r="D140" s="21"/>
      <c r="E140" s="21"/>
      <c r="F140" s="24"/>
    </row>
    <row r="141" spans="1:6" x14ac:dyDescent="0.25">
      <c r="A141" s="23"/>
      <c r="B141" s="26"/>
      <c r="C141" s="26"/>
      <c r="D141" s="21"/>
      <c r="E141" s="21"/>
      <c r="F141" s="24"/>
    </row>
    <row r="142" spans="1:6" x14ac:dyDescent="0.25">
      <c r="A142" s="23"/>
      <c r="B142" s="26"/>
      <c r="C142" s="26"/>
      <c r="D142" s="21"/>
      <c r="E142" s="21"/>
      <c r="F142" s="24"/>
    </row>
    <row r="143" spans="1:6" x14ac:dyDescent="0.25">
      <c r="A143" s="23"/>
      <c r="B143" s="26"/>
      <c r="C143" s="26"/>
      <c r="D143" s="21"/>
      <c r="E143" s="21"/>
      <c r="F143" s="24"/>
    </row>
    <row r="144" spans="1:6" x14ac:dyDescent="0.25">
      <c r="A144" s="23"/>
      <c r="B144" s="26"/>
      <c r="C144" s="26"/>
      <c r="D144" s="21"/>
      <c r="E144" s="21"/>
      <c r="F144" s="24"/>
    </row>
    <row r="145" spans="1:6" x14ac:dyDescent="0.25">
      <c r="A145" s="23"/>
      <c r="B145" s="26"/>
      <c r="C145" s="26"/>
      <c r="D145" s="21"/>
      <c r="E145" s="21"/>
      <c r="F145" s="24"/>
    </row>
    <row r="146" spans="1:6" x14ac:dyDescent="0.25">
      <c r="A146" s="23"/>
      <c r="B146" s="26"/>
      <c r="C146" s="26"/>
      <c r="D146" s="21"/>
      <c r="E146" s="21"/>
      <c r="F146" s="24"/>
    </row>
    <row r="147" spans="1:6" x14ac:dyDescent="0.25">
      <c r="A147" s="23"/>
      <c r="B147" s="26"/>
      <c r="C147" s="26"/>
      <c r="D147" s="21"/>
      <c r="E147" s="21"/>
      <c r="F147" s="24"/>
    </row>
    <row r="148" spans="1:6" x14ac:dyDescent="0.25">
      <c r="A148" s="23"/>
      <c r="B148" s="26"/>
      <c r="C148" s="26"/>
      <c r="D148" s="21"/>
      <c r="E148" s="21"/>
      <c r="F148" s="24"/>
    </row>
    <row r="149" spans="1:6" x14ac:dyDescent="0.25">
      <c r="A149" s="23"/>
      <c r="B149" s="26"/>
      <c r="C149" s="26"/>
      <c r="D149" s="21"/>
      <c r="E149" s="21"/>
      <c r="F149" s="24"/>
    </row>
    <row r="150" spans="1:6" x14ac:dyDescent="0.25">
      <c r="A150" s="23"/>
      <c r="B150" s="26"/>
      <c r="C150" s="26"/>
      <c r="D150" s="21"/>
      <c r="E150" s="21"/>
      <c r="F150" s="24"/>
    </row>
    <row r="151" spans="1:6" x14ac:dyDescent="0.25">
      <c r="A151" s="23"/>
      <c r="B151" s="26"/>
      <c r="C151" s="26"/>
      <c r="D151" s="21"/>
      <c r="E151" s="21"/>
      <c r="F151" s="24"/>
    </row>
    <row r="152" spans="1:6" x14ac:dyDescent="0.25">
      <c r="A152" s="23"/>
      <c r="B152" s="26"/>
      <c r="C152" s="26"/>
      <c r="D152" s="21"/>
      <c r="E152" s="21"/>
      <c r="F152" s="24"/>
    </row>
    <row r="153" spans="1:6" x14ac:dyDescent="0.25">
      <c r="A153" s="23"/>
      <c r="B153" s="26"/>
      <c r="C153" s="26"/>
      <c r="D153" s="21"/>
      <c r="E153" s="21"/>
      <c r="F153" s="24"/>
    </row>
    <row r="154" spans="1:6" x14ac:dyDescent="0.25">
      <c r="A154" s="23"/>
      <c r="B154" s="26"/>
      <c r="C154" s="26"/>
      <c r="D154" s="21"/>
      <c r="E154" s="21"/>
      <c r="F154" s="24"/>
    </row>
    <row r="155" spans="1:6" x14ac:dyDescent="0.25">
      <c r="A155" s="23"/>
      <c r="B155" s="26"/>
      <c r="C155" s="26"/>
      <c r="D155" s="21"/>
      <c r="E155" s="21"/>
      <c r="F155" s="24"/>
    </row>
    <row r="156" spans="1:6" x14ac:dyDescent="0.25">
      <c r="A156" s="23"/>
      <c r="B156" s="26"/>
      <c r="C156" s="26"/>
      <c r="D156" s="21"/>
      <c r="E156" s="21"/>
      <c r="F156" s="24"/>
    </row>
    <row r="157" spans="1:6" x14ac:dyDescent="0.25">
      <c r="A157" s="23"/>
      <c r="B157" s="26"/>
      <c r="C157" s="26"/>
      <c r="D157" s="21"/>
      <c r="E157" s="21"/>
      <c r="F157" s="24"/>
    </row>
    <row r="158" spans="1:6" x14ac:dyDescent="0.25">
      <c r="A158" s="23"/>
      <c r="B158" s="26"/>
      <c r="C158" s="26"/>
      <c r="D158" s="21"/>
      <c r="E158" s="21"/>
      <c r="F158" s="24"/>
    </row>
    <row r="159" spans="1:6" x14ac:dyDescent="0.25">
      <c r="A159" s="23"/>
      <c r="B159" s="26"/>
      <c r="C159" s="26"/>
      <c r="D159" s="21"/>
      <c r="E159" s="21"/>
      <c r="F159" s="24"/>
    </row>
    <row r="160" spans="1:6" x14ac:dyDescent="0.25">
      <c r="A160" s="23"/>
      <c r="B160" s="26"/>
      <c r="C160" s="26"/>
      <c r="D160" s="21"/>
      <c r="E160" s="21"/>
      <c r="F160" s="24"/>
    </row>
    <row r="161" spans="1:6" x14ac:dyDescent="0.25">
      <c r="A161" s="23"/>
      <c r="B161" s="26"/>
      <c r="C161" s="26"/>
      <c r="D161" s="21"/>
      <c r="E161" s="21"/>
      <c r="F161" s="24"/>
    </row>
    <row r="162" spans="1:6" x14ac:dyDescent="0.25">
      <c r="A162" s="23"/>
      <c r="B162" s="26"/>
      <c r="C162" s="26"/>
      <c r="D162" s="21"/>
      <c r="E162" s="21"/>
      <c r="F162" s="24"/>
    </row>
    <row r="163" spans="1:6" x14ac:dyDescent="0.25">
      <c r="A163" s="23"/>
      <c r="B163" s="26"/>
      <c r="C163" s="26"/>
      <c r="D163" s="21"/>
      <c r="E163" s="21"/>
      <c r="F163" s="24"/>
    </row>
    <row r="164" spans="1:6" x14ac:dyDescent="0.25">
      <c r="A164" s="23"/>
      <c r="B164" s="26"/>
      <c r="C164" s="26"/>
      <c r="D164" s="21"/>
      <c r="E164" s="21"/>
      <c r="F164" s="24"/>
    </row>
    <row r="165" spans="1:6" x14ac:dyDescent="0.25">
      <c r="A165" s="23"/>
      <c r="B165" s="26"/>
      <c r="C165" s="26"/>
      <c r="D165" s="21"/>
      <c r="E165" s="21"/>
      <c r="F165" s="24"/>
    </row>
    <row r="166" spans="1:6" x14ac:dyDescent="0.25">
      <c r="A166" s="23"/>
      <c r="B166" s="26"/>
      <c r="C166" s="26"/>
      <c r="D166" s="21"/>
      <c r="E166" s="21"/>
      <c r="F166" s="24"/>
    </row>
    <row r="167" spans="1:6" x14ac:dyDescent="0.25">
      <c r="A167" s="23"/>
      <c r="B167" s="26"/>
      <c r="C167" s="26"/>
      <c r="D167" s="21"/>
      <c r="E167" s="21"/>
      <c r="F167" s="24"/>
    </row>
    <row r="168" spans="1:6" x14ac:dyDescent="0.25">
      <c r="A168" s="23"/>
      <c r="B168" s="26"/>
      <c r="C168" s="26"/>
      <c r="D168" s="21"/>
      <c r="E168" s="21"/>
      <c r="F168" s="24"/>
    </row>
    <row r="169" spans="1:6" x14ac:dyDescent="0.25">
      <c r="A169" s="23"/>
      <c r="B169" s="26"/>
      <c r="C169" s="26"/>
      <c r="D169" s="21"/>
      <c r="E169" s="21"/>
      <c r="F169" s="24"/>
    </row>
    <row r="170" spans="1:6" x14ac:dyDescent="0.25">
      <c r="A170" s="23"/>
      <c r="B170" s="26"/>
      <c r="C170" s="26"/>
      <c r="D170" s="21"/>
      <c r="E170" s="21"/>
      <c r="F170" s="24"/>
    </row>
    <row r="171" spans="1:6" x14ac:dyDescent="0.25">
      <c r="A171" s="23"/>
      <c r="B171" s="26"/>
      <c r="C171" s="26"/>
      <c r="D171" s="21"/>
      <c r="E171" s="21"/>
      <c r="F171" s="24"/>
    </row>
    <row r="172" spans="1:6" x14ac:dyDescent="0.25">
      <c r="A172" s="23"/>
      <c r="B172" s="26"/>
      <c r="C172" s="26"/>
      <c r="D172" s="21"/>
      <c r="E172" s="21"/>
      <c r="F172" s="24"/>
    </row>
  </sheetData>
  <mergeCells count="138">
    <mergeCell ref="B40:C40"/>
    <mergeCell ref="A13:B13"/>
    <mergeCell ref="A14:B14"/>
    <mergeCell ref="B37:C37"/>
    <mergeCell ref="B38:C38"/>
    <mergeCell ref="B39:C39"/>
    <mergeCell ref="B46:C46"/>
    <mergeCell ref="B47:C47"/>
    <mergeCell ref="B48:C48"/>
    <mergeCell ref="B49:C49"/>
    <mergeCell ref="B50:C50"/>
    <mergeCell ref="B41:C41"/>
    <mergeCell ref="B42:C42"/>
    <mergeCell ref="B43:C43"/>
    <mergeCell ref="B44:C44"/>
    <mergeCell ref="B45:C45"/>
    <mergeCell ref="B56:C56"/>
    <mergeCell ref="B57:C57"/>
    <mergeCell ref="B58:C58"/>
    <mergeCell ref="B59:C59"/>
    <mergeCell ref="B60:C60"/>
    <mergeCell ref="B51:C51"/>
    <mergeCell ref="B52:C52"/>
    <mergeCell ref="B53:C53"/>
    <mergeCell ref="B54:C54"/>
    <mergeCell ref="B55:C55"/>
    <mergeCell ref="B66:C66"/>
    <mergeCell ref="B67:C67"/>
    <mergeCell ref="B68:C68"/>
    <mergeCell ref="B69:C69"/>
    <mergeCell ref="B70:C70"/>
    <mergeCell ref="B61:C61"/>
    <mergeCell ref="B62:C62"/>
    <mergeCell ref="B63:C63"/>
    <mergeCell ref="B64:C64"/>
    <mergeCell ref="B65:C65"/>
    <mergeCell ref="B76:C76"/>
    <mergeCell ref="B77:C77"/>
    <mergeCell ref="B78:C78"/>
    <mergeCell ref="B79:C79"/>
    <mergeCell ref="B80:C80"/>
    <mergeCell ref="B71:C71"/>
    <mergeCell ref="B72:C72"/>
    <mergeCell ref="B73:C73"/>
    <mergeCell ref="B74:C74"/>
    <mergeCell ref="B75:C75"/>
    <mergeCell ref="B86:C86"/>
    <mergeCell ref="B87:C87"/>
    <mergeCell ref="B88:C88"/>
    <mergeCell ref="B89:C89"/>
    <mergeCell ref="B90:C90"/>
    <mergeCell ref="B81:C81"/>
    <mergeCell ref="B82:C82"/>
    <mergeCell ref="B83:C83"/>
    <mergeCell ref="B84:C84"/>
    <mergeCell ref="B85:C85"/>
    <mergeCell ref="B96:C96"/>
    <mergeCell ref="B97:C97"/>
    <mergeCell ref="B98:C98"/>
    <mergeCell ref="B99:C99"/>
    <mergeCell ref="B100:C100"/>
    <mergeCell ref="B91:C91"/>
    <mergeCell ref="B92:C92"/>
    <mergeCell ref="B93:C93"/>
    <mergeCell ref="B94:C94"/>
    <mergeCell ref="B95:C95"/>
    <mergeCell ref="B106:C106"/>
    <mergeCell ref="B107:C107"/>
    <mergeCell ref="B108:C108"/>
    <mergeCell ref="B109:C109"/>
    <mergeCell ref="B110:C110"/>
    <mergeCell ref="B101:C101"/>
    <mergeCell ref="B102:C102"/>
    <mergeCell ref="B103:C103"/>
    <mergeCell ref="B104:C104"/>
    <mergeCell ref="B105:C105"/>
    <mergeCell ref="B116:C116"/>
    <mergeCell ref="B117:C117"/>
    <mergeCell ref="B118:C118"/>
    <mergeCell ref="B119:C119"/>
    <mergeCell ref="B120:C120"/>
    <mergeCell ref="B111:C111"/>
    <mergeCell ref="B112:C112"/>
    <mergeCell ref="B113:C113"/>
    <mergeCell ref="B114:C114"/>
    <mergeCell ref="B115:C115"/>
    <mergeCell ref="B126:C126"/>
    <mergeCell ref="B127:C127"/>
    <mergeCell ref="B128:C128"/>
    <mergeCell ref="B129:C129"/>
    <mergeCell ref="B130:C130"/>
    <mergeCell ref="B121:C121"/>
    <mergeCell ref="B122:C122"/>
    <mergeCell ref="B123:C123"/>
    <mergeCell ref="B124:C124"/>
    <mergeCell ref="B125:C125"/>
    <mergeCell ref="B136:C136"/>
    <mergeCell ref="B137:C137"/>
    <mergeCell ref="B138:C138"/>
    <mergeCell ref="B139:C139"/>
    <mergeCell ref="B140:C140"/>
    <mergeCell ref="B131:C131"/>
    <mergeCell ref="B132:C132"/>
    <mergeCell ref="B133:C133"/>
    <mergeCell ref="B134:C134"/>
    <mergeCell ref="B135:C135"/>
    <mergeCell ref="B146:C146"/>
    <mergeCell ref="B147:C147"/>
    <mergeCell ref="B148:C148"/>
    <mergeCell ref="B149:C149"/>
    <mergeCell ref="B150:C150"/>
    <mergeCell ref="B141:C141"/>
    <mergeCell ref="B142:C142"/>
    <mergeCell ref="B143:C143"/>
    <mergeCell ref="B144:C144"/>
    <mergeCell ref="B145:C145"/>
    <mergeCell ref="B156:C156"/>
    <mergeCell ref="B157:C157"/>
    <mergeCell ref="B158:C158"/>
    <mergeCell ref="B159:C159"/>
    <mergeCell ref="B160:C160"/>
    <mergeCell ref="B151:C151"/>
    <mergeCell ref="B152:C152"/>
    <mergeCell ref="B153:C153"/>
    <mergeCell ref="B154:C154"/>
    <mergeCell ref="B155:C155"/>
    <mergeCell ref="B171:C171"/>
    <mergeCell ref="B172:C172"/>
    <mergeCell ref="B166:C166"/>
    <mergeCell ref="B167:C167"/>
    <mergeCell ref="B168:C168"/>
    <mergeCell ref="B169:C169"/>
    <mergeCell ref="B170:C170"/>
    <mergeCell ref="B161:C161"/>
    <mergeCell ref="B162:C162"/>
    <mergeCell ref="B163:C163"/>
    <mergeCell ref="B164:C164"/>
    <mergeCell ref="B165:C16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</vt:i4>
      </vt:variant>
    </vt:vector>
  </HeadingPairs>
  <TitlesOfParts>
    <vt:vector size="5" baseType="lpstr">
      <vt:lpstr>TLY</vt:lpstr>
      <vt:lpstr>PHE</vt:lpstr>
      <vt:lpstr>PBR</vt:lpstr>
      <vt:lpstr>DFI</vt:lpstr>
      <vt:lpstr>BMU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 vbn</dc:creator>
  <cp:lastModifiedBy>hf vbn</cp:lastModifiedBy>
  <dcterms:created xsi:type="dcterms:W3CDTF">2026-06-11T18:45:17Z</dcterms:created>
  <dcterms:modified xsi:type="dcterms:W3CDTF">2026-07-29T15:53:45Z</dcterms:modified>
</cp:coreProperties>
</file>