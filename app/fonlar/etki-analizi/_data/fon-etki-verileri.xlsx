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37824812-774E-456E-BB3D-175DBDC78227}" xr6:coauthVersionLast="47" xr6:coauthVersionMax="47" xr10:uidLastSave="{00000000-0000-0000-0000-000000000000}"/>
  <bookViews>
    <workbookView xWindow="-37965" yWindow="45" windowWidth="17775" windowHeight="20790" activeTab="1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9" l="1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B22" i="9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5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0" i="7"/>
  <c r="D49" i="7"/>
  <c r="D48" i="7"/>
  <c r="D4" i="4"/>
  <c r="D3" i="4"/>
  <c r="D2" i="4"/>
  <c r="B10" i="4"/>
  <c r="D9" i="4"/>
  <c r="D8" i="4"/>
  <c r="D7" i="4"/>
  <c r="D6" i="4"/>
  <c r="D5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2" i="1"/>
  <c r="D21" i="1"/>
  <c r="D20" i="1"/>
  <c r="D22" i="9" l="1"/>
  <c r="D35" i="8"/>
  <c r="D50" i="7"/>
  <c r="D10" i="4"/>
  <c r="D27" i="2"/>
  <c r="D22" i="1"/>
</calcChain>
</file>

<file path=xl/sharedStrings.xml><?xml version="1.0" encoding="utf-8"?>
<sst xmlns="http://schemas.openxmlformats.org/spreadsheetml/2006/main" count="184" uniqueCount="104">
  <si>
    <t>SEMBOL</t>
  </si>
  <si>
    <t>FON ORANI</t>
  </si>
  <si>
    <t>KAPANIŞ MARJI</t>
  </si>
  <si>
    <t>ETKİ</t>
  </si>
  <si>
    <t>OZATD</t>
  </si>
  <si>
    <t>DSTKF</t>
  </si>
  <si>
    <t>TEHOL</t>
  </si>
  <si>
    <t>PEKGY</t>
  </si>
  <si>
    <t>TERA</t>
  </si>
  <si>
    <t>TRHOL</t>
  </si>
  <si>
    <t>ANELE</t>
  </si>
  <si>
    <t>ALKLC</t>
  </si>
  <si>
    <t>SELEC</t>
  </si>
  <si>
    <t>BIGEN</t>
  </si>
  <si>
    <t>HEDEF</t>
  </si>
  <si>
    <t>KARCL</t>
  </si>
  <si>
    <t>SVGYO</t>
  </si>
  <si>
    <t>EUPWR</t>
  </si>
  <si>
    <t>MANAS</t>
  </si>
  <si>
    <t>SARAE</t>
  </si>
  <si>
    <t>DAPGM</t>
  </si>
  <si>
    <t>TMPOL</t>
  </si>
  <si>
    <t>HMV</t>
  </si>
  <si>
    <t>T3B</t>
  </si>
  <si>
    <t>Toplam</t>
  </si>
  <si>
    <t>ETKİ ORANI</t>
  </si>
  <si>
    <t>ODINE</t>
  </si>
  <si>
    <t>PASEU</t>
  </si>
  <si>
    <t>GUNDG</t>
  </si>
  <si>
    <t>KTLEV</t>
  </si>
  <si>
    <t>AKSEN</t>
  </si>
  <si>
    <t>BALSU</t>
  </si>
  <si>
    <t>TATEN</t>
  </si>
  <si>
    <t>IZFAS</t>
  </si>
  <si>
    <t>IZENR</t>
  </si>
  <si>
    <t>ALVES</t>
  </si>
  <si>
    <t>TURSG</t>
  </si>
  <si>
    <t>TRALT</t>
  </si>
  <si>
    <t>MOPAS</t>
  </si>
  <si>
    <t>PKZ</t>
  </si>
  <si>
    <t>PCS</t>
  </si>
  <si>
    <t>PRY</t>
  </si>
  <si>
    <t>PDG</t>
  </si>
  <si>
    <t>IEYHO</t>
  </si>
  <si>
    <t>ISKPL</t>
  </si>
  <si>
    <t>LIDER</t>
  </si>
  <si>
    <t>ABG</t>
  </si>
  <si>
    <t>PSE</t>
  </si>
  <si>
    <t>BAC</t>
  </si>
  <si>
    <t>KVR</t>
  </si>
  <si>
    <t>PFS</t>
  </si>
  <si>
    <t>GESAN</t>
  </si>
  <si>
    <t>CWENE</t>
  </si>
  <si>
    <t>TCELL</t>
  </si>
  <si>
    <t>PSGYO</t>
  </si>
  <si>
    <t>EREGL</t>
  </si>
  <si>
    <t>THYAO</t>
  </si>
  <si>
    <t>PGSUS</t>
  </si>
  <si>
    <t>AEFES</t>
  </si>
  <si>
    <t>SAHOL</t>
  </si>
  <si>
    <t>KCHOL</t>
  </si>
  <si>
    <t>ARCLK</t>
  </si>
  <si>
    <t>BIMAS</t>
  </si>
  <si>
    <t>ISCTR</t>
  </si>
  <si>
    <t>ULKER</t>
  </si>
  <si>
    <t>AKBNK</t>
  </si>
  <si>
    <t>HALKB</t>
  </si>
  <si>
    <t>KORDS</t>
  </si>
  <si>
    <t>TAVHL</t>
  </si>
  <si>
    <t>ISMEN</t>
  </si>
  <si>
    <t>GARAN</t>
  </si>
  <si>
    <t>PETKM</t>
  </si>
  <si>
    <t>MGROS</t>
  </si>
  <si>
    <t>CCOLA</t>
  </si>
  <si>
    <t>ALARK</t>
  </si>
  <si>
    <t>AGHOL</t>
  </si>
  <si>
    <t>FROTO</t>
  </si>
  <si>
    <t>MAVI</t>
  </si>
  <si>
    <t>ASELS</t>
  </si>
  <si>
    <t>GLRYH</t>
  </si>
  <si>
    <t>BRKO</t>
  </si>
  <si>
    <t>A1CAP</t>
  </si>
  <si>
    <t>BIZIM</t>
  </si>
  <si>
    <t>TOASO</t>
  </si>
  <si>
    <t>PKV</t>
  </si>
  <si>
    <t>PIS</t>
  </si>
  <si>
    <t>GIPTA</t>
  </si>
  <si>
    <t>YKBNK</t>
  </si>
  <si>
    <t>BRSAN</t>
  </si>
  <si>
    <t>ORZAX</t>
  </si>
  <si>
    <t>KGYO</t>
  </si>
  <si>
    <t>NETCD</t>
  </si>
  <si>
    <t>BARMA</t>
  </si>
  <si>
    <t>MCARD</t>
  </si>
  <si>
    <t>GLRMK</t>
  </si>
  <si>
    <t>EGEGY</t>
  </si>
  <si>
    <t>TUPRS</t>
  </si>
  <si>
    <t>TABGD</t>
  </si>
  <si>
    <t>ATATR</t>
  </si>
  <si>
    <t>MOBTL</t>
  </si>
  <si>
    <t>BSOKE</t>
  </si>
  <si>
    <t>RUZYE</t>
  </si>
  <si>
    <t>RNPOL</t>
  </si>
  <si>
    <t xml:space="preserve">MANAS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</si>
</sst>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9" x14ac:knownFonts="1">
    <font>
      <sz val="11"/>
      <color rgb="FF000000"/>
      <name val="Calibri"/>
    </font>
    <font>
      <b/>
      <sz val="11"/>
      <color rgb="FFFF0000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name val="Calibri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5">
    <xf numFmtId="0" fontId="0" fillId="0" borderId="0" xfId="0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 vertical="center"/>
    </xf>
    <xf numFmtId="0" fontId="3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D22" sqref="D2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8" t="s">
        <v>0</v>
      </c>
      <c r="B1" s="28" t="s">
        <v>1</v>
      </c>
      <c r="C1" s="29" t="s">
        <v>2</v>
      </c>
      <c r="D1" s="29" t="s">
        <v>3</v>
      </c>
    </row>
    <row r="2" spans="1:4" x14ac:dyDescent="0.25">
      <c r="A2" s="2" t="s">
        <v>4</v>
      </c>
      <c r="B2" s="2">
        <v>26.83</v>
      </c>
      <c r="C2" s="1">
        <v>0.27777777777777701</v>
      </c>
      <c r="D2" s="5">
        <f>B2*C2/100</f>
        <v>7.4527777777777568E-2</v>
      </c>
    </row>
    <row r="3" spans="1:4" x14ac:dyDescent="0.25">
      <c r="A3" s="2" t="s">
        <v>5</v>
      </c>
      <c r="B3" s="2">
        <v>18.03</v>
      </c>
      <c r="C3" s="1">
        <v>3.1914893617021201</v>
      </c>
      <c r="D3" s="5">
        <f>B3*C3/100</f>
        <v>0.57542553191489221</v>
      </c>
    </row>
    <row r="4" spans="1:4" x14ac:dyDescent="0.25">
      <c r="A4" s="2" t="s">
        <v>6</v>
      </c>
      <c r="B4" s="2">
        <v>8.19</v>
      </c>
      <c r="C4" s="1">
        <v>-9.9567099567099504</v>
      </c>
      <c r="D4" s="5">
        <f t="shared" ref="D4:D21" si="0">B4*C4/100</f>
        <v>-0.81545454545454488</v>
      </c>
    </row>
    <row r="5" spans="1:4" x14ac:dyDescent="0.25">
      <c r="A5" s="2" t="s">
        <v>7</v>
      </c>
      <c r="B5" s="2">
        <v>7.49</v>
      </c>
      <c r="C5" s="1">
        <v>6.7897165458141</v>
      </c>
      <c r="D5" s="5">
        <f t="shared" si="0"/>
        <v>0.50854976928147611</v>
      </c>
    </row>
    <row r="6" spans="1:4" x14ac:dyDescent="0.25">
      <c r="A6" s="2" t="s">
        <v>8</v>
      </c>
      <c r="B6" s="2">
        <v>2.91</v>
      </c>
      <c r="C6" s="1">
        <v>0.66852367688022196</v>
      </c>
      <c r="D6" s="5">
        <f t="shared" si="0"/>
        <v>1.945403899721446E-2</v>
      </c>
    </row>
    <row r="7" spans="1:4" x14ac:dyDescent="0.25">
      <c r="A7" s="2" t="s">
        <v>9</v>
      </c>
      <c r="B7" s="2">
        <v>5.63</v>
      </c>
      <c r="C7" s="1">
        <v>1.89393939393939</v>
      </c>
      <c r="D7" s="5">
        <f t="shared" si="0"/>
        <v>0.10662878787878766</v>
      </c>
    </row>
    <row r="8" spans="1:4" x14ac:dyDescent="0.25">
      <c r="A8" s="2" t="s">
        <v>10</v>
      </c>
      <c r="B8" s="2">
        <v>2.0499999999999998</v>
      </c>
      <c r="C8" s="1">
        <v>7.1428571428571397</v>
      </c>
      <c r="D8" s="5">
        <f t="shared" si="0"/>
        <v>0.14642857142857135</v>
      </c>
    </row>
    <row r="9" spans="1:4" x14ac:dyDescent="0.25">
      <c r="A9" s="2" t="s">
        <v>11</v>
      </c>
      <c r="B9" s="2">
        <v>1.3</v>
      </c>
      <c r="C9" s="1">
        <v>0.177619893428063</v>
      </c>
      <c r="D9" s="5">
        <f t="shared" si="0"/>
        <v>2.3090586145648189E-3</v>
      </c>
    </row>
    <row r="10" spans="1:4" x14ac:dyDescent="0.25">
      <c r="A10" s="2" t="s">
        <v>12</v>
      </c>
      <c r="B10" s="2">
        <v>1.8</v>
      </c>
      <c r="C10" s="1">
        <v>0.92514718250630701</v>
      </c>
      <c r="D10" s="5">
        <f t="shared" si="0"/>
        <v>1.6652649285113525E-2</v>
      </c>
    </row>
    <row r="11" spans="1:4" x14ac:dyDescent="0.25">
      <c r="A11" s="2" t="s">
        <v>13</v>
      </c>
      <c r="B11" s="2">
        <v>2.31</v>
      </c>
      <c r="C11" s="1">
        <v>3.18949343339587</v>
      </c>
      <c r="D11" s="5">
        <f t="shared" si="0"/>
        <v>7.3677298311444595E-2</v>
      </c>
    </row>
    <row r="12" spans="1:4" x14ac:dyDescent="0.25">
      <c r="A12" s="2" t="s">
        <v>14</v>
      </c>
      <c r="B12" s="2">
        <v>0.32</v>
      </c>
      <c r="C12" s="1">
        <v>-9.9216710182767596</v>
      </c>
      <c r="D12" s="5">
        <f t="shared" si="0"/>
        <v>-3.1749347258485633E-2</v>
      </c>
    </row>
    <row r="13" spans="1:4" x14ac:dyDescent="0.25">
      <c r="A13" s="2" t="s">
        <v>15</v>
      </c>
      <c r="B13" s="2">
        <v>0.56999999999999995</v>
      </c>
      <c r="C13" s="1">
        <v>9.9539170506912402</v>
      </c>
      <c r="D13" s="5">
        <f t="shared" si="0"/>
        <v>5.6737327188940069E-2</v>
      </c>
    </row>
    <row r="14" spans="1:4" x14ac:dyDescent="0.25">
      <c r="A14" s="2" t="s">
        <v>16</v>
      </c>
      <c r="B14" s="2">
        <v>0.55000000000000004</v>
      </c>
      <c r="C14" s="1">
        <v>2.2458628841607502</v>
      </c>
      <c r="D14" s="5">
        <f t="shared" si="0"/>
        <v>1.2352245862884128E-2</v>
      </c>
    </row>
    <row r="15" spans="1:4" x14ac:dyDescent="0.25">
      <c r="A15" s="2" t="s">
        <v>17</v>
      </c>
      <c r="B15" s="2">
        <v>0.31</v>
      </c>
      <c r="C15" s="1">
        <v>4.4071353620146896</v>
      </c>
      <c r="D15" s="5">
        <f t="shared" si="0"/>
        <v>1.3662119622245537E-2</v>
      </c>
    </row>
    <row r="16" spans="1:4" x14ac:dyDescent="0.25">
      <c r="A16" s="2" t="s">
        <v>18</v>
      </c>
      <c r="B16" s="2">
        <v>0.14000000000000001</v>
      </c>
      <c r="C16" s="1">
        <v>-0.95751047277079604</v>
      </c>
      <c r="D16" s="5">
        <f t="shared" si="0"/>
        <v>-1.3405146618791143E-3</v>
      </c>
    </row>
    <row r="17" spans="1:6" x14ac:dyDescent="0.25">
      <c r="A17" s="2" t="s">
        <v>19</v>
      </c>
      <c r="B17" s="2">
        <v>0.12</v>
      </c>
      <c r="C17" s="1">
        <v>1.6073478760045901</v>
      </c>
      <c r="D17" s="5">
        <f t="shared" si="0"/>
        <v>1.9288174512055081E-3</v>
      </c>
    </row>
    <row r="18" spans="1:6" x14ac:dyDescent="0.25">
      <c r="A18" s="2" t="s">
        <v>20</v>
      </c>
      <c r="B18" s="2">
        <v>0.1</v>
      </c>
      <c r="C18" s="1">
        <v>-1.16959064327485</v>
      </c>
      <c r="D18" s="5">
        <f t="shared" si="0"/>
        <v>-1.1695906432748499E-3</v>
      </c>
    </row>
    <row r="19" spans="1:6" x14ac:dyDescent="0.25">
      <c r="A19" s="2" t="s">
        <v>21</v>
      </c>
      <c r="B19" s="2">
        <v>0.1</v>
      </c>
      <c r="C19" s="1">
        <v>-8.5054080629301794</v>
      </c>
      <c r="D19" s="5">
        <f t="shared" si="0"/>
        <v>-8.5054080629301792E-3</v>
      </c>
    </row>
    <row r="20" spans="1:6" x14ac:dyDescent="0.25">
      <c r="A20" s="2" t="s">
        <v>22</v>
      </c>
      <c r="B20" s="2">
        <v>4.78</v>
      </c>
      <c r="C20" s="1">
        <v>0.89</v>
      </c>
      <c r="D20" s="5">
        <f t="shared" si="0"/>
        <v>4.2541999999999996E-2</v>
      </c>
    </row>
    <row r="21" spans="1:6" x14ac:dyDescent="0.25">
      <c r="A21" s="2" t="s">
        <v>23</v>
      </c>
      <c r="B21" s="2">
        <v>0.01</v>
      </c>
      <c r="C21" s="1">
        <v>2.69</v>
      </c>
      <c r="D21" s="5">
        <f t="shared" si="0"/>
        <v>2.6899999999999998E-4</v>
      </c>
    </row>
    <row r="22" spans="1:6" x14ac:dyDescent="0.25">
      <c r="A22" s="30" t="s">
        <v>24</v>
      </c>
      <c r="B22" s="30">
        <f>B2+B3+B4+B5+B6+B7+B8+B9+B10+B11+B12+B14+B15+B16+B17+B18+B19+B20+B21+B13</f>
        <v>83.539999999999978</v>
      </c>
      <c r="C22" s="30"/>
      <c r="D22" s="31">
        <f>D2+D3+D4+D5+D6+D7+D8+D9+D10+D11+D12+D14+D15+D16+D17+D18+D19+D20+D21+D13</f>
        <v>0.79292558753400288</v>
      </c>
    </row>
    <row r="23" spans="1:6" x14ac:dyDescent="0.25">
      <c r="A23" s="2"/>
      <c r="B23" s="2"/>
      <c r="C23" s="1"/>
      <c r="D23" s="5"/>
    </row>
    <row r="24" spans="1:6" x14ac:dyDescent="0.25">
      <c r="A24" s="3"/>
      <c r="B24" s="3"/>
      <c r="C24" s="3"/>
      <c r="D24" s="4"/>
    </row>
    <row r="25" spans="1:6" x14ac:dyDescent="0.25">
      <c r="A25" s="13"/>
      <c r="B25" s="3"/>
      <c r="C25" s="3"/>
      <c r="D25" s="4"/>
    </row>
    <row r="27" spans="1:6" x14ac:dyDescent="0.25">
      <c r="C27" s="3"/>
    </row>
    <row r="28" spans="1:6" x14ac:dyDescent="0.25">
      <c r="C28" s="2"/>
      <c r="D28" s="2"/>
      <c r="E28" s="2"/>
    </row>
    <row r="29" spans="1:6" x14ac:dyDescent="0.25">
      <c r="A29" s="26"/>
      <c r="B29" s="26"/>
      <c r="C29" s="2"/>
      <c r="D29" s="2"/>
      <c r="E29" s="14"/>
    </row>
    <row r="30" spans="1:6" x14ac:dyDescent="0.25">
      <c r="A30" s="26"/>
      <c r="B30" s="26"/>
      <c r="C30" s="7"/>
      <c r="D30" s="16"/>
    </row>
    <row r="31" spans="1:6" x14ac:dyDescent="0.25">
      <c r="A31" s="3"/>
      <c r="B31" s="27"/>
      <c r="C31" s="27"/>
      <c r="D31" s="17"/>
      <c r="E31" s="3"/>
      <c r="F31" s="3"/>
    </row>
    <row r="32" spans="1:6" x14ac:dyDescent="0.25">
      <c r="A32" s="15"/>
      <c r="B32" s="26"/>
      <c r="C32" s="26"/>
      <c r="D32" s="22"/>
      <c r="E32" s="18"/>
      <c r="F32" s="21"/>
    </row>
    <row r="33" spans="1:6" x14ac:dyDescent="0.25">
      <c r="A33" s="15"/>
      <c r="B33" s="26"/>
      <c r="C33" s="26"/>
      <c r="D33" s="22"/>
      <c r="E33" s="19"/>
      <c r="F33" s="21"/>
    </row>
    <row r="34" spans="1:6" x14ac:dyDescent="0.25">
      <c r="A34" s="15"/>
      <c r="B34" s="26"/>
      <c r="C34" s="26"/>
      <c r="D34" s="22"/>
      <c r="E34" s="19"/>
      <c r="F34" s="21"/>
    </row>
    <row r="35" spans="1:6" x14ac:dyDescent="0.25">
      <c r="A35" s="15"/>
      <c r="B35" s="26"/>
      <c r="C35" s="26"/>
      <c r="D35" s="22"/>
      <c r="E35" s="19"/>
      <c r="F35" s="21"/>
    </row>
    <row r="36" spans="1:6" x14ac:dyDescent="0.25">
      <c r="A36" s="15"/>
      <c r="B36" s="26"/>
      <c r="C36" s="26"/>
      <c r="D36" s="22"/>
      <c r="E36" s="19"/>
      <c r="F36" s="21"/>
    </row>
    <row r="37" spans="1:6" x14ac:dyDescent="0.25">
      <c r="A37" s="15"/>
      <c r="B37" s="26"/>
      <c r="C37" s="26"/>
      <c r="D37" s="22"/>
      <c r="E37" s="19"/>
      <c r="F37" s="21"/>
    </row>
    <row r="38" spans="1:6" x14ac:dyDescent="0.25">
      <c r="A38" s="15"/>
      <c r="B38" s="26"/>
      <c r="C38" s="26"/>
      <c r="D38" s="22"/>
      <c r="E38" s="19"/>
      <c r="F38" s="21"/>
    </row>
    <row r="39" spans="1:6" x14ac:dyDescent="0.25">
      <c r="A39" s="15"/>
      <c r="B39" s="26"/>
      <c r="C39" s="26"/>
      <c r="D39" s="22"/>
      <c r="E39" s="19"/>
      <c r="F39" s="21"/>
    </row>
    <row r="40" spans="1:6" x14ac:dyDescent="0.25">
      <c r="A40" s="15"/>
      <c r="B40" s="26"/>
      <c r="C40" s="26"/>
      <c r="D40" s="22"/>
      <c r="E40" s="19"/>
      <c r="F40" s="21"/>
    </row>
    <row r="41" spans="1:6" x14ac:dyDescent="0.25">
      <c r="A41" s="15"/>
      <c r="B41" s="26"/>
      <c r="C41" s="26"/>
      <c r="D41" s="22"/>
      <c r="E41" s="19"/>
      <c r="F41" s="21"/>
    </row>
    <row r="42" spans="1:6" x14ac:dyDescent="0.25">
      <c r="A42" s="15"/>
      <c r="B42" s="26"/>
      <c r="C42" s="26"/>
      <c r="D42" s="22"/>
      <c r="E42" s="19"/>
      <c r="F42" s="21"/>
    </row>
    <row r="43" spans="1:6" x14ac:dyDescent="0.25">
      <c r="A43" s="15"/>
      <c r="B43" s="26"/>
      <c r="C43" s="26"/>
      <c r="D43" s="22"/>
      <c r="E43" s="19"/>
      <c r="F43" s="21"/>
    </row>
    <row r="44" spans="1:6" x14ac:dyDescent="0.25">
      <c r="A44" s="15"/>
      <c r="B44" s="26"/>
      <c r="C44" s="26"/>
      <c r="D44" s="22"/>
      <c r="E44" s="19"/>
      <c r="F44" s="21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"/>
  <sheetViews>
    <sheetView tabSelected="1" workbookViewId="0">
      <selection activeCell="K16" sqref="K1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8" t="s">
        <v>0</v>
      </c>
      <c r="B1" s="28" t="s">
        <v>25</v>
      </c>
      <c r="C1" s="29" t="s">
        <v>2</v>
      </c>
      <c r="D1" s="29" t="s">
        <v>3</v>
      </c>
    </row>
    <row r="2" spans="1:4" x14ac:dyDescent="0.25">
      <c r="A2" s="2" t="s">
        <v>26</v>
      </c>
      <c r="B2" s="2">
        <v>12.08</v>
      </c>
      <c r="C2" s="24">
        <v>-1.97969543147208</v>
      </c>
      <c r="D2" s="2">
        <f>B2*C2/100</f>
        <v>-0.23914720812182724</v>
      </c>
    </row>
    <row r="3" spans="1:4" x14ac:dyDescent="0.25">
      <c r="A3" s="2" t="s">
        <v>27</v>
      </c>
      <c r="B3" s="2">
        <v>7.68</v>
      </c>
      <c r="C3" s="24">
        <v>4.3103448275862002</v>
      </c>
      <c r="D3" s="2">
        <f t="shared" ref="D3:D26" si="0">B3*C3/100</f>
        <v>0.33103448275862013</v>
      </c>
    </row>
    <row r="4" spans="1:4" x14ac:dyDescent="0.25">
      <c r="A4" s="2" t="s">
        <v>28</v>
      </c>
      <c r="B4" s="2">
        <v>24</v>
      </c>
      <c r="C4" s="24">
        <v>-10</v>
      </c>
      <c r="D4" s="2">
        <f t="shared" si="0"/>
        <v>-2.4</v>
      </c>
    </row>
    <row r="5" spans="1:4" x14ac:dyDescent="0.25">
      <c r="A5" s="2" t="s">
        <v>29</v>
      </c>
      <c r="B5" s="2">
        <v>12.31</v>
      </c>
      <c r="C5" s="24">
        <v>3.2258064516128999</v>
      </c>
      <c r="D5" s="2">
        <f t="shared" si="0"/>
        <v>0.397096774193548</v>
      </c>
    </row>
    <row r="6" spans="1:4" x14ac:dyDescent="0.25">
      <c r="A6" s="2" t="s">
        <v>14</v>
      </c>
      <c r="B6" s="2">
        <v>4.0199999999999996</v>
      </c>
      <c r="C6" s="24">
        <v>-9.9216710182767596</v>
      </c>
      <c r="D6" s="2">
        <f t="shared" si="0"/>
        <v>-0.39885117493472572</v>
      </c>
    </row>
    <row r="7" spans="1:4" x14ac:dyDescent="0.25">
      <c r="A7" s="2" t="s">
        <v>5</v>
      </c>
      <c r="B7" s="2">
        <v>4.49</v>
      </c>
      <c r="C7" s="24">
        <v>3.1914893617021201</v>
      </c>
      <c r="D7" s="2">
        <f t="shared" si="0"/>
        <v>0.14329787234042521</v>
      </c>
    </row>
    <row r="8" spans="1:4" x14ac:dyDescent="0.25">
      <c r="A8" s="2" t="s">
        <v>30</v>
      </c>
      <c r="B8" s="2">
        <v>5.63</v>
      </c>
      <c r="C8" s="24">
        <v>0.67650676506764995</v>
      </c>
      <c r="D8" s="2">
        <f t="shared" si="0"/>
        <v>3.8087330873308692E-2</v>
      </c>
    </row>
    <row r="9" spans="1:4" x14ac:dyDescent="0.25">
      <c r="A9" s="2" t="s">
        <v>31</v>
      </c>
      <c r="B9" s="2">
        <v>2.82</v>
      </c>
      <c r="C9" s="24">
        <v>-1.4071294559099401</v>
      </c>
      <c r="D9" s="2">
        <f t="shared" si="0"/>
        <v>-3.9681050656660305E-2</v>
      </c>
    </row>
    <row r="10" spans="1:4" x14ac:dyDescent="0.25">
      <c r="A10" s="2" t="s">
        <v>10</v>
      </c>
      <c r="B10" s="2">
        <v>2.75</v>
      </c>
      <c r="C10" s="24">
        <v>7.1428571428571397</v>
      </c>
      <c r="D10" s="2">
        <f t="shared" si="0"/>
        <v>0.19642857142857134</v>
      </c>
    </row>
    <row r="11" spans="1:4" x14ac:dyDescent="0.25">
      <c r="A11" s="2" t="s">
        <v>32</v>
      </c>
      <c r="B11" s="2">
        <v>1.89</v>
      </c>
      <c r="C11" s="24">
        <v>-2.62008733624454</v>
      </c>
      <c r="D11" s="2">
        <f t="shared" si="0"/>
        <v>-4.9519650655021799E-2</v>
      </c>
    </row>
    <row r="12" spans="1:4" x14ac:dyDescent="0.25">
      <c r="A12" s="2" t="s">
        <v>33</v>
      </c>
      <c r="B12" s="2">
        <v>1.1100000000000001</v>
      </c>
      <c r="C12" s="24">
        <v>9.9906629318394007</v>
      </c>
      <c r="D12" s="2">
        <f t="shared" si="0"/>
        <v>0.11089635854341737</v>
      </c>
    </row>
    <row r="13" spans="1:4" x14ac:dyDescent="0.25">
      <c r="A13" s="2" t="s">
        <v>21</v>
      </c>
      <c r="B13" s="2">
        <v>2.25</v>
      </c>
      <c r="C13" s="24">
        <v>-8.5054080629301794</v>
      </c>
      <c r="D13" s="2">
        <f t="shared" si="0"/>
        <v>-0.19137168141592903</v>
      </c>
    </row>
    <row r="14" spans="1:4" x14ac:dyDescent="0.25">
      <c r="A14" s="2" t="s">
        <v>7</v>
      </c>
      <c r="B14" s="2">
        <v>1.89</v>
      </c>
      <c r="C14" s="24">
        <v>6.7897165458141</v>
      </c>
      <c r="D14" s="2">
        <f t="shared" si="0"/>
        <v>0.12832564271588648</v>
      </c>
    </row>
    <row r="15" spans="1:4" x14ac:dyDescent="0.25">
      <c r="A15" s="2" t="s">
        <v>11</v>
      </c>
      <c r="B15" s="2">
        <v>0.66</v>
      </c>
      <c r="C15" s="24">
        <v>0.177619893428063</v>
      </c>
      <c r="D15" s="2">
        <f t="shared" si="0"/>
        <v>1.1722912966252157E-3</v>
      </c>
    </row>
    <row r="16" spans="1:4" x14ac:dyDescent="0.25">
      <c r="A16" s="2" t="s">
        <v>20</v>
      </c>
      <c r="B16" s="2">
        <v>0.99</v>
      </c>
      <c r="C16" s="24">
        <v>-1.16959064327485</v>
      </c>
      <c r="D16" s="2">
        <f t="shared" si="0"/>
        <v>-1.1578947368421015E-2</v>
      </c>
    </row>
    <row r="17" spans="1:4" x14ac:dyDescent="0.25">
      <c r="A17" s="2" t="s">
        <v>34</v>
      </c>
      <c r="B17" s="2">
        <v>0.38</v>
      </c>
      <c r="C17" s="24">
        <v>-0.11947431302269999</v>
      </c>
      <c r="D17" s="2">
        <f t="shared" si="0"/>
        <v>-4.5400238948625998E-4</v>
      </c>
    </row>
    <row r="18" spans="1:4" x14ac:dyDescent="0.25">
      <c r="A18" s="2" t="s">
        <v>35</v>
      </c>
      <c r="B18" s="2">
        <v>0.13</v>
      </c>
      <c r="C18" s="24">
        <v>-0.55865921787709405</v>
      </c>
      <c r="D18" s="2">
        <f t="shared" si="0"/>
        <v>-7.2625698324022231E-4</v>
      </c>
    </row>
    <row r="19" spans="1:4" x14ac:dyDescent="0.25">
      <c r="A19" s="2" t="s">
        <v>9</v>
      </c>
      <c r="B19" s="2">
        <v>1.64</v>
      </c>
      <c r="C19" s="24">
        <v>1.89393939393939</v>
      </c>
      <c r="D19" s="2">
        <f t="shared" si="0"/>
        <v>3.1060606060605993E-2</v>
      </c>
    </row>
    <row r="20" spans="1:4" x14ac:dyDescent="0.25">
      <c r="A20" s="2" t="s">
        <v>36</v>
      </c>
      <c r="B20" s="2">
        <v>7.0000000000000007E-2</v>
      </c>
      <c r="C20" s="24">
        <v>1.6286644951139999</v>
      </c>
      <c r="D20" s="2">
        <f t="shared" si="0"/>
        <v>1.1400651465798002E-3</v>
      </c>
    </row>
    <row r="21" spans="1:4" x14ac:dyDescent="0.25">
      <c r="A21" s="2" t="s">
        <v>37</v>
      </c>
      <c r="B21" s="2">
        <v>0.04</v>
      </c>
      <c r="C21" s="24">
        <v>1.7757009345794299</v>
      </c>
      <c r="D21" s="2">
        <f t="shared" si="0"/>
        <v>7.1028037383177205E-4</v>
      </c>
    </row>
    <row r="22" spans="1:4" x14ac:dyDescent="0.25">
      <c r="A22" s="2" t="s">
        <v>38</v>
      </c>
      <c r="B22" s="2">
        <v>7.0000000000000007E-2</v>
      </c>
      <c r="C22" s="24">
        <v>-0.14336917562724</v>
      </c>
      <c r="D22" s="2">
        <f t="shared" si="0"/>
        <v>-1.0035842293906801E-4</v>
      </c>
    </row>
    <row r="23" spans="1:4" x14ac:dyDescent="0.25">
      <c r="A23" s="2" t="s">
        <v>39</v>
      </c>
      <c r="B23" s="2">
        <v>10.79</v>
      </c>
      <c r="C23" s="24">
        <v>5.66</v>
      </c>
      <c r="D23" s="2">
        <f t="shared" si="0"/>
        <v>0.61071399999999998</v>
      </c>
    </row>
    <row r="24" spans="1:4" x14ac:dyDescent="0.25">
      <c r="A24" s="2" t="s">
        <v>40</v>
      </c>
      <c r="B24" s="2">
        <v>9.2100000000000009</v>
      </c>
      <c r="C24" s="24">
        <v>8.32</v>
      </c>
      <c r="D24" s="2">
        <f t="shared" si="0"/>
        <v>0.76627200000000018</v>
      </c>
    </row>
    <row r="25" spans="1:4" x14ac:dyDescent="0.25">
      <c r="A25" s="2" t="s">
        <v>41</v>
      </c>
      <c r="B25" s="2">
        <v>1.66</v>
      </c>
      <c r="C25" s="1">
        <v>0.14000000000000001</v>
      </c>
      <c r="D25" s="2">
        <f t="shared" si="0"/>
        <v>2.3240000000000001E-3</v>
      </c>
    </row>
    <row r="26" spans="1:4" x14ac:dyDescent="0.25">
      <c r="A26" s="2" t="s">
        <v>42</v>
      </c>
      <c r="B26" s="2">
        <v>0.02</v>
      </c>
      <c r="C26" s="1">
        <v>-1.67</v>
      </c>
      <c r="D26" s="2">
        <f t="shared" si="0"/>
        <v>-3.3399999999999999E-4</v>
      </c>
    </row>
    <row r="27" spans="1:4" x14ac:dyDescent="0.25">
      <c r="A27" s="32" t="s">
        <v>24</v>
      </c>
      <c r="B27" s="30">
        <f>SUM(B2:B26)</f>
        <v>108.57999999999997</v>
      </c>
      <c r="D27" s="31">
        <f>SUM(D2:D26)</f>
        <v>-0.57320405521683049</v>
      </c>
    </row>
    <row r="28" spans="1:4" x14ac:dyDescent="0.25">
      <c r="A28" s="2"/>
      <c r="B28" s="2"/>
      <c r="C28" s="6"/>
      <c r="D28" s="2"/>
    </row>
    <row r="29" spans="1:4" x14ac:dyDescent="0.25">
      <c r="A29" s="2"/>
      <c r="B29" s="2"/>
      <c r="C29" s="6"/>
      <c r="D29" s="2"/>
    </row>
    <row r="30" spans="1:4" x14ac:dyDescent="0.25">
      <c r="A30" s="2"/>
      <c r="B30" s="2"/>
      <c r="C30" s="6"/>
      <c r="D30" s="2"/>
    </row>
    <row r="31" spans="1:4" x14ac:dyDescent="0.25">
      <c r="A31" s="2"/>
      <c r="B31" s="2"/>
      <c r="C31" s="6"/>
      <c r="D31" s="2"/>
    </row>
    <row r="32" spans="1:4" x14ac:dyDescent="0.25">
      <c r="A32" s="2"/>
      <c r="B32" s="2"/>
      <c r="C32" s="6"/>
      <c r="D32" s="2"/>
    </row>
    <row r="33" spans="1:5" x14ac:dyDescent="0.25">
      <c r="A33" s="2"/>
      <c r="B33" s="9"/>
      <c r="C33" s="12"/>
      <c r="D33" s="2"/>
    </row>
    <row r="34" spans="1:5" x14ac:dyDescent="0.25">
      <c r="A34" s="2"/>
      <c r="B34" s="2"/>
      <c r="C34" s="6"/>
      <c r="D34" s="2"/>
    </row>
    <row r="35" spans="1:5" x14ac:dyDescent="0.25">
      <c r="A35" s="2"/>
      <c r="B35" s="2"/>
      <c r="C35" s="6"/>
      <c r="D35" s="2"/>
    </row>
    <row r="36" spans="1:5" x14ac:dyDescent="0.25">
      <c r="A36" s="2"/>
      <c r="B36" s="2"/>
      <c r="C36" s="6"/>
      <c r="D36" s="2"/>
    </row>
    <row r="37" spans="1:5" x14ac:dyDescent="0.25">
      <c r="A37" s="2"/>
      <c r="B37" s="2"/>
      <c r="C37" s="6"/>
      <c r="D37" s="2"/>
    </row>
    <row r="38" spans="1:5" x14ac:dyDescent="0.25">
      <c r="A38" s="2"/>
      <c r="B38" s="2"/>
      <c r="C38" s="6"/>
      <c r="D38" s="2"/>
    </row>
    <row r="39" spans="1:5" x14ac:dyDescent="0.25">
      <c r="A39" s="2"/>
      <c r="B39" s="2"/>
      <c r="C39" s="6"/>
      <c r="D39" s="2"/>
    </row>
    <row r="40" spans="1:5" x14ac:dyDescent="0.25">
      <c r="A40" s="2"/>
      <c r="B40" s="2"/>
      <c r="C40" s="6"/>
      <c r="D40" s="2"/>
    </row>
    <row r="41" spans="1:5" x14ac:dyDescent="0.25">
      <c r="A41" s="2"/>
      <c r="B41" s="2"/>
      <c r="C41" s="2"/>
      <c r="D41" s="2"/>
    </row>
    <row r="42" spans="1:5" x14ac:dyDescent="0.25">
      <c r="A42" s="2"/>
      <c r="B42" s="2"/>
      <c r="C42" s="2"/>
      <c r="D42" s="2"/>
    </row>
    <row r="43" spans="1:5" x14ac:dyDescent="0.25">
      <c r="A43" s="2"/>
      <c r="B43" s="2"/>
      <c r="C43" s="2"/>
      <c r="D43" s="2"/>
    </row>
    <row r="44" spans="1:5" x14ac:dyDescent="0.25">
      <c r="A44" s="10"/>
      <c r="B44" s="3"/>
      <c r="D44" s="4"/>
    </row>
    <row r="47" spans="1:5" x14ac:dyDescent="0.25">
      <c r="C47" s="3"/>
    </row>
    <row r="48" spans="1:5" x14ac:dyDescent="0.25">
      <c r="C48" s="2"/>
      <c r="D48" s="2"/>
      <c r="E48" s="2"/>
    </row>
    <row r="49" spans="1:6" x14ac:dyDescent="0.25">
      <c r="A49" s="26"/>
      <c r="B49" s="26"/>
      <c r="C49" s="2"/>
      <c r="D49" s="2"/>
      <c r="E49" s="14"/>
    </row>
    <row r="50" spans="1:6" x14ac:dyDescent="0.25">
      <c r="A50" s="26"/>
      <c r="B50" s="26"/>
      <c r="C50" s="7"/>
      <c r="D50" s="7"/>
    </row>
    <row r="55" spans="1:6" x14ac:dyDescent="0.25">
      <c r="A55" s="3"/>
      <c r="B55" s="27"/>
      <c r="C55" s="27"/>
      <c r="D55" s="17"/>
      <c r="E55" s="3"/>
      <c r="F55" s="3"/>
    </row>
    <row r="56" spans="1:6" x14ac:dyDescent="0.25">
      <c r="A56" s="15"/>
      <c r="B56" s="26"/>
      <c r="C56" s="26"/>
      <c r="D56" s="18"/>
      <c r="E56" s="18"/>
      <c r="F56" s="21"/>
    </row>
    <row r="57" spans="1:6" x14ac:dyDescent="0.25">
      <c r="A57" s="15"/>
      <c r="B57" s="26"/>
      <c r="C57" s="26"/>
      <c r="D57" s="18"/>
      <c r="E57" s="18"/>
      <c r="F57" s="21"/>
    </row>
    <row r="58" spans="1:6" x14ac:dyDescent="0.25">
      <c r="A58" s="15"/>
      <c r="B58" s="26"/>
      <c r="C58" s="26"/>
      <c r="D58" s="18"/>
      <c r="E58" s="18"/>
      <c r="F58" s="21"/>
    </row>
    <row r="59" spans="1:6" x14ac:dyDescent="0.25">
      <c r="A59" s="15"/>
      <c r="B59" s="26"/>
      <c r="C59" s="26"/>
      <c r="D59" s="18"/>
      <c r="E59" s="18"/>
      <c r="F59" s="21"/>
    </row>
    <row r="60" spans="1:6" x14ac:dyDescent="0.25">
      <c r="A60" s="15"/>
      <c r="B60" s="26"/>
      <c r="C60" s="26"/>
      <c r="D60" s="18"/>
      <c r="E60" s="18"/>
      <c r="F60" s="21"/>
    </row>
    <row r="61" spans="1:6" x14ac:dyDescent="0.25">
      <c r="A61" s="15"/>
      <c r="B61" s="26"/>
      <c r="C61" s="26"/>
      <c r="D61" s="18"/>
      <c r="E61" s="18"/>
      <c r="F61" s="21"/>
    </row>
    <row r="62" spans="1:6" x14ac:dyDescent="0.25">
      <c r="A62" s="15"/>
      <c r="B62" s="26"/>
      <c r="C62" s="26"/>
      <c r="D62" s="18"/>
      <c r="E62" s="18"/>
      <c r="F62" s="21"/>
    </row>
    <row r="63" spans="1:6" x14ac:dyDescent="0.25">
      <c r="A63" s="15"/>
      <c r="B63" s="26"/>
      <c r="C63" s="26"/>
      <c r="D63" s="18"/>
      <c r="E63" s="18"/>
      <c r="F63" s="21"/>
    </row>
    <row r="64" spans="1:6" x14ac:dyDescent="0.25">
      <c r="A64" s="15"/>
      <c r="B64" s="26"/>
      <c r="C64" s="26"/>
      <c r="D64" s="18"/>
      <c r="E64" s="18"/>
      <c r="F64" s="21"/>
    </row>
    <row r="65" spans="1:6" x14ac:dyDescent="0.25">
      <c r="A65" s="15"/>
      <c r="B65" s="26"/>
      <c r="C65" s="26"/>
      <c r="D65" s="18"/>
      <c r="E65" s="18"/>
      <c r="F65" s="21"/>
    </row>
    <row r="66" spans="1:6" x14ac:dyDescent="0.25">
      <c r="A66" s="15"/>
      <c r="B66" s="26"/>
      <c r="C66" s="26"/>
      <c r="D66" s="18"/>
      <c r="E66" s="18"/>
      <c r="F66" s="21"/>
    </row>
    <row r="67" spans="1:6" x14ac:dyDescent="0.25">
      <c r="A67" s="15"/>
      <c r="B67" s="26"/>
      <c r="C67" s="26"/>
      <c r="D67" s="18"/>
      <c r="E67" s="18"/>
      <c r="F67" s="21"/>
    </row>
    <row r="68" spans="1:6" x14ac:dyDescent="0.25">
      <c r="A68" s="15"/>
      <c r="B68" s="26"/>
      <c r="C68" s="26"/>
      <c r="D68" s="18"/>
      <c r="E68" s="18"/>
      <c r="F68" s="21"/>
    </row>
    <row r="69" spans="1:6" x14ac:dyDescent="0.25">
      <c r="A69" s="15"/>
      <c r="B69" s="26"/>
      <c r="C69" s="26"/>
      <c r="D69" s="16"/>
      <c r="E69" s="19"/>
      <c r="F69" s="21"/>
    </row>
    <row r="70" spans="1:6" x14ac:dyDescent="0.25">
      <c r="A70" s="15"/>
      <c r="B70" s="26"/>
      <c r="C70" s="26"/>
      <c r="D70" s="16"/>
      <c r="E70" s="19"/>
      <c r="F70" s="21"/>
    </row>
    <row r="71" spans="1:6" x14ac:dyDescent="0.25">
      <c r="A71" s="15"/>
      <c r="B71" s="26"/>
      <c r="C71" s="26"/>
      <c r="D71" s="16"/>
      <c r="E71" s="19"/>
      <c r="F71" s="21"/>
    </row>
    <row r="72" spans="1:6" x14ac:dyDescent="0.25">
      <c r="A72" s="15"/>
      <c r="B72" s="26"/>
      <c r="C72" s="26"/>
      <c r="D72" s="16"/>
      <c r="E72" s="19"/>
      <c r="F72" s="21"/>
    </row>
    <row r="73" spans="1:6" x14ac:dyDescent="0.25">
      <c r="A73" s="15"/>
      <c r="B73" s="26"/>
      <c r="C73" s="26"/>
      <c r="D73" s="16"/>
      <c r="E73" s="19"/>
      <c r="F73" s="21"/>
    </row>
    <row r="74" spans="1:6" x14ac:dyDescent="0.25">
      <c r="A74" s="15"/>
      <c r="B74" s="26"/>
      <c r="C74" s="26"/>
      <c r="D74" s="16"/>
      <c r="E74" s="19"/>
      <c r="F74" s="21"/>
    </row>
    <row r="75" spans="1:6" x14ac:dyDescent="0.25">
      <c r="A75" s="15"/>
      <c r="B75" s="26"/>
      <c r="C75" s="26"/>
      <c r="D75" s="16"/>
      <c r="E75" s="19"/>
      <c r="F75" s="21"/>
    </row>
    <row r="76" spans="1:6" x14ac:dyDescent="0.25">
      <c r="A76" s="15"/>
      <c r="B76" s="26"/>
      <c r="C76" s="26"/>
      <c r="D76" s="16"/>
      <c r="E76" s="19"/>
      <c r="F76" s="21"/>
    </row>
    <row r="77" spans="1:6" x14ac:dyDescent="0.25">
      <c r="A77" s="15"/>
      <c r="B77" s="26"/>
      <c r="C77" s="26"/>
      <c r="D77" s="16"/>
      <c r="E77" s="19"/>
      <c r="F77" s="21"/>
    </row>
    <row r="78" spans="1:6" x14ac:dyDescent="0.25">
      <c r="A78" s="15"/>
      <c r="B78" s="26"/>
      <c r="C78" s="26"/>
      <c r="D78" s="16"/>
      <c r="E78" s="19"/>
      <c r="F78" s="21"/>
    </row>
    <row r="79" spans="1:6" x14ac:dyDescent="0.25">
      <c r="A79" s="15"/>
      <c r="B79" s="26"/>
      <c r="C79" s="26"/>
      <c r="D79" s="16"/>
      <c r="E79" s="19"/>
      <c r="F79" s="21"/>
    </row>
    <row r="80" spans="1:6" x14ac:dyDescent="0.25">
      <c r="A80" s="15"/>
      <c r="B80" s="26"/>
      <c r="C80" s="26"/>
      <c r="D80" s="16"/>
      <c r="E80" s="19"/>
      <c r="F80" s="21"/>
    </row>
    <row r="81" spans="1:6" x14ac:dyDescent="0.25">
      <c r="A81" s="15"/>
      <c r="B81" s="26"/>
      <c r="C81" s="26"/>
      <c r="D81" s="16"/>
      <c r="E81" s="19"/>
      <c r="F81" s="21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8" t="s">
        <v>0</v>
      </c>
      <c r="B1" s="28" t="s">
        <v>1</v>
      </c>
      <c r="C1" s="29" t="s">
        <v>2</v>
      </c>
      <c r="D1" s="29" t="s">
        <v>3</v>
      </c>
    </row>
    <row r="2" spans="1:5" x14ac:dyDescent="0.25">
      <c r="A2" s="2" t="s">
        <v>43</v>
      </c>
      <c r="B2" s="2">
        <v>43.26</v>
      </c>
      <c r="C2" s="6">
        <v>0.83989501312335901</v>
      </c>
      <c r="D2" s="25">
        <f>B2*C2/100</f>
        <v>0.36333858267716507</v>
      </c>
    </row>
    <row r="3" spans="1:5" x14ac:dyDescent="0.25">
      <c r="A3" s="2" t="s">
        <v>44</v>
      </c>
      <c r="B3" s="2">
        <v>2.85</v>
      </c>
      <c r="C3" s="6">
        <v>1.5366430260047199</v>
      </c>
      <c r="D3" s="25">
        <f t="shared" ref="D3:D9" si="0">B3*C3/100</f>
        <v>4.3794326241134524E-2</v>
      </c>
    </row>
    <row r="4" spans="1:5" x14ac:dyDescent="0.25">
      <c r="A4" s="2" t="s">
        <v>45</v>
      </c>
      <c r="B4" s="2">
        <v>0.06</v>
      </c>
      <c r="C4" s="6">
        <v>-4.88385944014294</v>
      </c>
      <c r="D4" s="25">
        <f t="shared" si="0"/>
        <v>-2.930315664085764E-3</v>
      </c>
    </row>
    <row r="5" spans="1:5" x14ac:dyDescent="0.25">
      <c r="A5" s="2" t="s">
        <v>46</v>
      </c>
      <c r="B5" s="2">
        <v>25.43</v>
      </c>
      <c r="C5" s="2">
        <v>0.08</v>
      </c>
      <c r="D5" s="25">
        <f t="shared" si="0"/>
        <v>2.0344000000000001E-2</v>
      </c>
    </row>
    <row r="6" spans="1:5" x14ac:dyDescent="0.25">
      <c r="A6" s="2" t="s">
        <v>47</v>
      </c>
      <c r="B6" s="2">
        <v>5.29</v>
      </c>
      <c r="C6" s="2">
        <v>0.12</v>
      </c>
      <c r="D6" s="25">
        <f t="shared" si="0"/>
        <v>6.3480000000000003E-3</v>
      </c>
    </row>
    <row r="7" spans="1:5" x14ac:dyDescent="0.25">
      <c r="A7" s="2" t="s">
        <v>48</v>
      </c>
      <c r="B7" s="2">
        <v>0.38</v>
      </c>
      <c r="C7" s="2">
        <v>-9.89</v>
      </c>
      <c r="D7" s="25">
        <f t="shared" si="0"/>
        <v>-3.7582000000000004E-2</v>
      </c>
    </row>
    <row r="8" spans="1:5" x14ac:dyDescent="0.25">
      <c r="A8" s="2" t="s">
        <v>49</v>
      </c>
      <c r="B8" s="2">
        <v>0.13</v>
      </c>
      <c r="C8" s="2">
        <v>0.1</v>
      </c>
      <c r="D8" s="25">
        <f t="shared" si="0"/>
        <v>1.3000000000000002E-4</v>
      </c>
    </row>
    <row r="9" spans="1:5" x14ac:dyDescent="0.25">
      <c r="A9" s="2" t="s">
        <v>50</v>
      </c>
      <c r="B9" s="2">
        <v>0.03</v>
      </c>
      <c r="C9" s="2">
        <v>0.1</v>
      </c>
      <c r="D9" s="25">
        <f t="shared" si="0"/>
        <v>3.0000000000000001E-5</v>
      </c>
      <c r="E9" s="2"/>
    </row>
    <row r="10" spans="1:5" x14ac:dyDescent="0.25">
      <c r="A10" s="32" t="s">
        <v>24</v>
      </c>
      <c r="B10" s="30">
        <f>B2++B3+B4+B5+B6+B7+B8+B9</f>
        <v>77.429999999999993</v>
      </c>
      <c r="C10" s="2"/>
      <c r="D10" s="31">
        <f>D2+D3+D4+D5+D6+D7+D8+D9</f>
        <v>0.39347259325421385</v>
      </c>
      <c r="E10" s="14"/>
    </row>
    <row r="11" spans="1:5" x14ac:dyDescent="0.25">
      <c r="A11" s="26"/>
      <c r="B11" s="26"/>
      <c r="C11" s="8"/>
      <c r="D11" s="8"/>
    </row>
    <row r="31" spans="1:6" x14ac:dyDescent="0.25">
      <c r="A31" s="3"/>
      <c r="B31" s="27"/>
      <c r="C31" s="27"/>
      <c r="D31" s="17"/>
      <c r="E31" s="3"/>
      <c r="F31" s="3"/>
    </row>
    <row r="32" spans="1:6" x14ac:dyDescent="0.25">
      <c r="A32" s="20"/>
      <c r="B32" s="26"/>
      <c r="C32" s="26"/>
      <c r="D32" s="18"/>
      <c r="E32" s="18"/>
      <c r="F32" s="21"/>
    </row>
    <row r="33" spans="1:6" x14ac:dyDescent="0.25">
      <c r="A33" s="20"/>
      <c r="B33" s="26"/>
      <c r="C33" s="26"/>
      <c r="D33" s="18"/>
      <c r="E33" s="18"/>
      <c r="F33" s="21"/>
    </row>
    <row r="34" spans="1:6" x14ac:dyDescent="0.25">
      <c r="A34" s="20"/>
      <c r="B34" s="26"/>
      <c r="C34" s="26"/>
      <c r="D34" s="18"/>
      <c r="E34" s="18"/>
      <c r="F34" s="21"/>
    </row>
    <row r="35" spans="1:6" x14ac:dyDescent="0.25">
      <c r="A35" s="20"/>
      <c r="B35" s="26"/>
      <c r="C35" s="26"/>
      <c r="D35" s="18"/>
      <c r="E35" s="18"/>
      <c r="F35" s="21"/>
    </row>
    <row r="36" spans="1:6" x14ac:dyDescent="0.25">
      <c r="A36" s="20"/>
      <c r="B36" s="26"/>
      <c r="C36" s="26"/>
      <c r="D36" s="18"/>
      <c r="E36" s="18"/>
      <c r="F36" s="21"/>
    </row>
    <row r="37" spans="1:6" x14ac:dyDescent="0.25">
      <c r="A37" s="20"/>
      <c r="B37" s="26"/>
      <c r="C37" s="26"/>
      <c r="D37" s="18"/>
      <c r="E37" s="18"/>
      <c r="F37" s="21"/>
    </row>
    <row r="38" spans="1:6" x14ac:dyDescent="0.25">
      <c r="A38" s="20"/>
      <c r="B38" s="26"/>
      <c r="C38" s="26"/>
      <c r="D38" s="18"/>
      <c r="E38" s="18"/>
      <c r="F38" s="21"/>
    </row>
    <row r="39" spans="1:6" x14ac:dyDescent="0.25">
      <c r="A39" s="20"/>
      <c r="B39" s="26"/>
      <c r="C39" s="26"/>
      <c r="D39" s="18"/>
      <c r="E39" s="18"/>
      <c r="F39" s="21"/>
    </row>
    <row r="40" spans="1:6" x14ac:dyDescent="0.25">
      <c r="A40" s="20"/>
      <c r="B40" s="26"/>
      <c r="C40" s="26"/>
      <c r="D40" s="18"/>
      <c r="E40" s="18"/>
      <c r="F40" s="21"/>
    </row>
    <row r="41" spans="1:6" x14ac:dyDescent="0.25">
      <c r="A41" s="20"/>
      <c r="B41" s="26"/>
      <c r="C41" s="26"/>
      <c r="D41" s="18"/>
      <c r="E41" s="18"/>
      <c r="F41" s="21"/>
    </row>
    <row r="42" spans="1:6" x14ac:dyDescent="0.25">
      <c r="A42" s="20"/>
      <c r="B42" s="26"/>
      <c r="C42" s="26"/>
      <c r="D42" s="18"/>
      <c r="E42" s="18"/>
      <c r="F42" s="21"/>
    </row>
    <row r="43" spans="1:6" x14ac:dyDescent="0.25">
      <c r="A43" s="20"/>
      <c r="B43" s="26"/>
      <c r="C43" s="26"/>
      <c r="D43" s="18"/>
      <c r="E43" s="18"/>
      <c r="F43" s="21"/>
    </row>
    <row r="44" spans="1:6" x14ac:dyDescent="0.25">
      <c r="A44" s="20"/>
      <c r="B44" s="26"/>
      <c r="C44" s="26"/>
      <c r="D44" s="18"/>
      <c r="E44" s="18"/>
      <c r="F44" s="21"/>
    </row>
    <row r="45" spans="1:6" x14ac:dyDescent="0.25">
      <c r="A45" s="20"/>
      <c r="B45" s="26"/>
      <c r="C45" s="26"/>
      <c r="D45" s="18"/>
      <c r="E45" s="18"/>
      <c r="F45" s="21"/>
    </row>
    <row r="46" spans="1:6" x14ac:dyDescent="0.25">
      <c r="A46" s="20"/>
      <c r="B46" s="26"/>
      <c r="C46" s="26"/>
      <c r="D46" s="18"/>
      <c r="E46" s="18"/>
      <c r="F46" s="21"/>
    </row>
    <row r="47" spans="1:6" x14ac:dyDescent="0.25">
      <c r="A47" s="20"/>
      <c r="B47" s="26"/>
      <c r="C47" s="26"/>
      <c r="D47" s="18"/>
      <c r="E47" s="18"/>
      <c r="F47" s="21"/>
    </row>
    <row r="48" spans="1:6" x14ac:dyDescent="0.25">
      <c r="A48" s="20"/>
      <c r="B48" s="26"/>
      <c r="C48" s="26"/>
      <c r="D48" s="18"/>
      <c r="E48" s="18"/>
      <c r="F48" s="21"/>
    </row>
    <row r="49" spans="1:6" x14ac:dyDescent="0.25">
      <c r="A49" s="20"/>
      <c r="B49" s="26"/>
      <c r="C49" s="26"/>
      <c r="D49" s="18"/>
      <c r="E49" s="18"/>
      <c r="F49" s="21"/>
    </row>
    <row r="50" spans="1:6" x14ac:dyDescent="0.25">
      <c r="A50" s="20"/>
      <c r="B50" s="26"/>
      <c r="C50" s="26"/>
      <c r="D50" s="18"/>
      <c r="E50" s="18"/>
      <c r="F50" s="21"/>
    </row>
    <row r="51" spans="1:6" x14ac:dyDescent="0.25">
      <c r="A51" s="20"/>
      <c r="B51" s="26"/>
      <c r="C51" s="26"/>
      <c r="D51" s="18"/>
      <c r="E51" s="18"/>
      <c r="F51" s="21"/>
    </row>
    <row r="52" spans="1:6" x14ac:dyDescent="0.25">
      <c r="A52" s="20"/>
      <c r="B52" s="26"/>
      <c r="C52" s="26"/>
      <c r="D52" s="18"/>
      <c r="E52" s="18"/>
      <c r="F52" s="21"/>
    </row>
    <row r="53" spans="1:6" x14ac:dyDescent="0.25">
      <c r="A53" s="20"/>
      <c r="B53" s="26"/>
      <c r="C53" s="26"/>
      <c r="D53" s="18"/>
      <c r="E53" s="18"/>
      <c r="F53" s="21"/>
    </row>
    <row r="54" spans="1:6" x14ac:dyDescent="0.25">
      <c r="A54" s="20"/>
      <c r="B54" s="26"/>
      <c r="C54" s="26"/>
      <c r="D54" s="18"/>
      <c r="E54" s="18"/>
      <c r="F54" s="21"/>
    </row>
    <row r="55" spans="1:6" x14ac:dyDescent="0.25">
      <c r="A55" s="20"/>
      <c r="B55" s="26"/>
      <c r="C55" s="26"/>
      <c r="D55" s="18"/>
      <c r="E55" s="18"/>
      <c r="F55" s="21"/>
    </row>
    <row r="56" spans="1:6" x14ac:dyDescent="0.25">
      <c r="A56" s="20"/>
      <c r="B56" s="26"/>
      <c r="C56" s="26"/>
      <c r="D56" s="18"/>
      <c r="E56" s="18"/>
      <c r="F56" s="21"/>
    </row>
    <row r="57" spans="1:6" x14ac:dyDescent="0.25">
      <c r="A57" s="20"/>
      <c r="B57" s="26"/>
      <c r="C57" s="26"/>
      <c r="D57" s="18"/>
      <c r="E57" s="18"/>
      <c r="F57" s="21"/>
    </row>
    <row r="58" spans="1:6" x14ac:dyDescent="0.25">
      <c r="A58" s="20"/>
      <c r="B58" s="26"/>
      <c r="C58" s="26"/>
      <c r="D58" s="18"/>
      <c r="E58" s="18"/>
      <c r="F58" s="21"/>
    </row>
    <row r="59" spans="1:6" x14ac:dyDescent="0.25">
      <c r="A59" s="20"/>
      <c r="B59" s="26"/>
      <c r="C59" s="26"/>
      <c r="D59" s="18"/>
      <c r="E59" s="18"/>
      <c r="F59" s="21"/>
    </row>
    <row r="60" spans="1:6" x14ac:dyDescent="0.25">
      <c r="A60" s="20"/>
      <c r="B60" s="26"/>
      <c r="C60" s="26"/>
      <c r="D60" s="18"/>
      <c r="E60" s="18"/>
      <c r="F60" s="21"/>
    </row>
    <row r="61" spans="1:6" x14ac:dyDescent="0.25">
      <c r="A61" s="20"/>
      <c r="B61" s="26"/>
      <c r="C61" s="26"/>
      <c r="D61" s="18"/>
      <c r="E61" s="18"/>
      <c r="F61" s="21"/>
    </row>
    <row r="62" spans="1:6" x14ac:dyDescent="0.25">
      <c r="A62" s="20"/>
      <c r="B62" s="26"/>
      <c r="C62" s="26"/>
      <c r="D62" s="18"/>
      <c r="E62" s="18"/>
      <c r="F62" s="21"/>
    </row>
    <row r="63" spans="1:6" x14ac:dyDescent="0.25">
      <c r="A63" s="20"/>
      <c r="B63" s="26"/>
      <c r="C63" s="26"/>
      <c r="D63" s="18"/>
      <c r="E63" s="18"/>
      <c r="F63" s="21"/>
    </row>
    <row r="64" spans="1:6" x14ac:dyDescent="0.25">
      <c r="A64" s="20"/>
      <c r="B64" s="26"/>
      <c r="C64" s="26"/>
      <c r="D64" s="18"/>
      <c r="E64" s="18"/>
      <c r="F64" s="21"/>
    </row>
    <row r="65" spans="1:6" x14ac:dyDescent="0.25">
      <c r="A65" s="20"/>
      <c r="B65" s="26"/>
      <c r="C65" s="26"/>
      <c r="D65" s="18"/>
      <c r="E65" s="18"/>
      <c r="F65" s="21"/>
    </row>
    <row r="66" spans="1:6" x14ac:dyDescent="0.25">
      <c r="A66" s="20"/>
      <c r="B66" s="26"/>
      <c r="C66" s="26"/>
      <c r="D66" s="18"/>
      <c r="E66" s="18"/>
      <c r="F66" s="21"/>
    </row>
    <row r="67" spans="1:6" x14ac:dyDescent="0.25">
      <c r="A67" s="20"/>
      <c r="B67" s="26"/>
      <c r="C67" s="26"/>
      <c r="D67" s="18"/>
      <c r="E67" s="18"/>
      <c r="F67" s="21"/>
    </row>
    <row r="68" spans="1:6" x14ac:dyDescent="0.25">
      <c r="A68" s="20"/>
      <c r="B68" s="26"/>
      <c r="C68" s="26"/>
      <c r="D68" s="18"/>
      <c r="E68" s="18"/>
      <c r="F68" s="21"/>
    </row>
    <row r="69" spans="1:6" x14ac:dyDescent="0.25">
      <c r="A69" s="20"/>
      <c r="B69" s="26"/>
      <c r="C69" s="26"/>
      <c r="D69" s="18"/>
      <c r="E69" s="18"/>
      <c r="F69" s="21"/>
    </row>
    <row r="70" spans="1:6" x14ac:dyDescent="0.25">
      <c r="A70" s="20"/>
      <c r="B70" s="26"/>
      <c r="C70" s="26"/>
      <c r="D70" s="18"/>
      <c r="E70" s="18"/>
      <c r="F70" s="21"/>
    </row>
    <row r="71" spans="1:6" x14ac:dyDescent="0.25">
      <c r="A71" s="20"/>
      <c r="B71" s="26"/>
      <c r="C71" s="26"/>
      <c r="D71" s="18"/>
      <c r="E71" s="18"/>
      <c r="F71" s="21"/>
    </row>
    <row r="72" spans="1:6" x14ac:dyDescent="0.25">
      <c r="A72" s="20"/>
      <c r="B72" s="26"/>
      <c r="C72" s="26"/>
      <c r="D72" s="18"/>
      <c r="E72" s="18"/>
      <c r="F72" s="21"/>
    </row>
    <row r="73" spans="1:6" x14ac:dyDescent="0.25">
      <c r="A73" s="20"/>
      <c r="B73" s="26"/>
      <c r="C73" s="26"/>
      <c r="D73" s="18"/>
      <c r="E73" s="18"/>
      <c r="F73" s="21"/>
    </row>
    <row r="74" spans="1:6" x14ac:dyDescent="0.25">
      <c r="A74" s="20"/>
      <c r="B74" s="26"/>
      <c r="C74" s="26"/>
      <c r="D74" s="18"/>
      <c r="E74" s="18"/>
      <c r="F74" s="21"/>
    </row>
    <row r="75" spans="1:6" x14ac:dyDescent="0.25">
      <c r="A75" s="20"/>
      <c r="B75" s="26"/>
      <c r="C75" s="26"/>
      <c r="D75" s="18"/>
      <c r="E75" s="18"/>
      <c r="F75" s="21"/>
    </row>
    <row r="76" spans="1:6" x14ac:dyDescent="0.25">
      <c r="A76" s="20"/>
      <c r="B76" s="26"/>
      <c r="C76" s="26"/>
      <c r="D76" s="18"/>
      <c r="E76" s="18"/>
      <c r="F76" s="21"/>
    </row>
    <row r="77" spans="1:6" x14ac:dyDescent="0.25">
      <c r="A77" s="20"/>
      <c r="B77" s="26"/>
      <c r="C77" s="26"/>
      <c r="D77" s="18"/>
      <c r="E77" s="18"/>
      <c r="F77" s="21"/>
    </row>
    <row r="78" spans="1:6" x14ac:dyDescent="0.25">
      <c r="A78" s="20"/>
      <c r="B78" s="26"/>
      <c r="C78" s="26"/>
      <c r="D78" s="18"/>
      <c r="E78" s="18"/>
      <c r="F78" s="21"/>
    </row>
    <row r="79" spans="1:6" x14ac:dyDescent="0.25">
      <c r="A79" s="20"/>
      <c r="B79" s="26"/>
      <c r="C79" s="26"/>
      <c r="D79" s="18"/>
      <c r="E79" s="18"/>
      <c r="F79" s="21"/>
    </row>
    <row r="80" spans="1:6" x14ac:dyDescent="0.25">
      <c r="A80" s="20"/>
      <c r="B80" s="26"/>
      <c r="C80" s="26"/>
      <c r="D80" s="18"/>
      <c r="E80" s="18"/>
      <c r="F80" s="21"/>
    </row>
    <row r="81" spans="1:6" x14ac:dyDescent="0.25">
      <c r="A81" s="20"/>
      <c r="B81" s="26"/>
      <c r="C81" s="26"/>
      <c r="D81" s="18"/>
      <c r="E81" s="18"/>
      <c r="F81" s="21"/>
    </row>
    <row r="82" spans="1:6" x14ac:dyDescent="0.25">
      <c r="A82" s="20"/>
      <c r="B82" s="26"/>
      <c r="C82" s="26"/>
      <c r="D82" s="18"/>
      <c r="E82" s="18"/>
      <c r="F82" s="21"/>
    </row>
    <row r="83" spans="1:6" x14ac:dyDescent="0.25">
      <c r="A83" s="20"/>
      <c r="B83" s="26"/>
      <c r="C83" s="26"/>
      <c r="D83" s="18"/>
      <c r="E83" s="18"/>
      <c r="F83" s="21"/>
    </row>
    <row r="84" spans="1:6" x14ac:dyDescent="0.25">
      <c r="A84" s="20"/>
      <c r="B84" s="26"/>
      <c r="C84" s="26"/>
      <c r="D84" s="18"/>
      <c r="E84" s="18"/>
      <c r="F84" s="21"/>
    </row>
    <row r="85" spans="1:6" x14ac:dyDescent="0.25">
      <c r="A85" s="20"/>
      <c r="B85" s="26"/>
      <c r="C85" s="26"/>
      <c r="D85" s="18"/>
      <c r="E85" s="18"/>
      <c r="F85" s="21"/>
    </row>
    <row r="86" spans="1:6" x14ac:dyDescent="0.25">
      <c r="A86" s="20"/>
      <c r="B86" s="26"/>
      <c r="C86" s="26"/>
      <c r="D86" s="18"/>
      <c r="E86" s="18"/>
      <c r="F86" s="21"/>
    </row>
    <row r="87" spans="1:6" x14ac:dyDescent="0.25">
      <c r="A87" s="20"/>
      <c r="B87" s="26"/>
      <c r="C87" s="26"/>
      <c r="D87" s="18"/>
      <c r="E87" s="18"/>
      <c r="F87" s="21"/>
    </row>
    <row r="88" spans="1:6" x14ac:dyDescent="0.25">
      <c r="A88" s="20"/>
      <c r="B88" s="26"/>
      <c r="C88" s="26"/>
      <c r="D88" s="18"/>
      <c r="E88" s="18"/>
      <c r="F88" s="21"/>
    </row>
    <row r="89" spans="1:6" x14ac:dyDescent="0.25">
      <c r="A89" s="20"/>
      <c r="B89" s="26"/>
      <c r="C89" s="26"/>
      <c r="D89" s="18"/>
      <c r="E89" s="18"/>
      <c r="F89" s="21"/>
    </row>
    <row r="90" spans="1:6" x14ac:dyDescent="0.25">
      <c r="A90" s="20"/>
      <c r="B90" s="26"/>
      <c r="C90" s="26"/>
      <c r="D90" s="18"/>
      <c r="E90" s="18"/>
      <c r="F90" s="21"/>
    </row>
    <row r="91" spans="1:6" x14ac:dyDescent="0.25">
      <c r="A91" s="20"/>
      <c r="B91" s="26"/>
      <c r="C91" s="26"/>
      <c r="D91" s="18"/>
      <c r="E91" s="18"/>
      <c r="F91" s="21"/>
    </row>
    <row r="92" spans="1:6" x14ac:dyDescent="0.25">
      <c r="A92" s="20"/>
      <c r="B92" s="26"/>
      <c r="C92" s="26"/>
      <c r="D92" s="18"/>
      <c r="E92" s="18"/>
      <c r="F92" s="21"/>
    </row>
    <row r="93" spans="1:6" x14ac:dyDescent="0.25">
      <c r="A93" s="20"/>
      <c r="B93" s="26"/>
      <c r="C93" s="26"/>
      <c r="D93" s="18"/>
      <c r="E93" s="18"/>
      <c r="F93" s="21"/>
    </row>
    <row r="94" spans="1:6" x14ac:dyDescent="0.25">
      <c r="A94" s="20"/>
      <c r="B94" s="26"/>
      <c r="C94" s="26"/>
      <c r="D94" s="18"/>
      <c r="E94" s="18"/>
      <c r="F94" s="21"/>
    </row>
    <row r="95" spans="1:6" x14ac:dyDescent="0.25">
      <c r="A95" s="20"/>
      <c r="B95" s="26"/>
      <c r="C95" s="26"/>
      <c r="D95" s="18"/>
      <c r="E95" s="18"/>
      <c r="F95" s="21"/>
    </row>
    <row r="96" spans="1:6" x14ac:dyDescent="0.25">
      <c r="A96" s="20"/>
      <c r="B96" s="26"/>
      <c r="C96" s="26"/>
      <c r="D96" s="18"/>
      <c r="E96" s="18"/>
      <c r="F96" s="21"/>
    </row>
    <row r="97" spans="1:6" x14ac:dyDescent="0.25">
      <c r="A97" s="20"/>
      <c r="B97" s="26"/>
      <c r="C97" s="26"/>
      <c r="D97" s="18"/>
      <c r="E97" s="18"/>
      <c r="F97" s="21"/>
    </row>
    <row r="98" spans="1:6" x14ac:dyDescent="0.25">
      <c r="A98" s="20"/>
      <c r="B98" s="26"/>
      <c r="C98" s="26"/>
      <c r="D98" s="18"/>
      <c r="E98" s="18"/>
      <c r="F98" s="21"/>
    </row>
    <row r="99" spans="1:6" x14ac:dyDescent="0.25">
      <c r="A99" s="20"/>
      <c r="B99" s="26"/>
      <c r="C99" s="26"/>
      <c r="D99" s="18"/>
      <c r="E99" s="18"/>
      <c r="F99" s="21"/>
    </row>
    <row r="100" spans="1:6" x14ac:dyDescent="0.25">
      <c r="A100" s="20"/>
      <c r="B100" s="26"/>
      <c r="C100" s="26"/>
      <c r="D100" s="18"/>
      <c r="E100" s="18"/>
      <c r="F100" s="21"/>
    </row>
    <row r="101" spans="1:6" x14ac:dyDescent="0.25">
      <c r="A101" s="20"/>
      <c r="B101" s="26"/>
      <c r="C101" s="26"/>
      <c r="D101" s="18"/>
      <c r="E101" s="18"/>
      <c r="F101" s="21"/>
    </row>
    <row r="102" spans="1:6" x14ac:dyDescent="0.25">
      <c r="A102" s="20"/>
      <c r="B102" s="26"/>
      <c r="C102" s="26"/>
      <c r="D102" s="18"/>
      <c r="E102" s="18"/>
      <c r="F102" s="21"/>
    </row>
    <row r="103" spans="1:6" x14ac:dyDescent="0.25">
      <c r="A103" s="20"/>
      <c r="B103" s="26"/>
      <c r="C103" s="26"/>
      <c r="D103" s="18"/>
      <c r="E103" s="18"/>
      <c r="F103" s="21"/>
    </row>
    <row r="104" spans="1:6" x14ac:dyDescent="0.25">
      <c r="A104" s="20"/>
      <c r="B104" s="26"/>
      <c r="C104" s="26"/>
      <c r="D104" s="18"/>
      <c r="E104" s="18"/>
      <c r="F104" s="21"/>
    </row>
    <row r="105" spans="1:6" x14ac:dyDescent="0.25">
      <c r="A105" s="20"/>
      <c r="B105" s="26"/>
      <c r="C105" s="26"/>
      <c r="D105" s="18"/>
      <c r="E105" s="18"/>
      <c r="F105" s="21"/>
    </row>
    <row r="106" spans="1:6" x14ac:dyDescent="0.25">
      <c r="A106" s="20"/>
      <c r="B106" s="26"/>
      <c r="C106" s="26"/>
      <c r="D106" s="18"/>
      <c r="E106" s="18"/>
      <c r="F106" s="21"/>
    </row>
    <row r="107" spans="1:6" x14ac:dyDescent="0.25">
      <c r="A107" s="20"/>
      <c r="B107" s="26"/>
      <c r="C107" s="26"/>
      <c r="D107" s="18"/>
      <c r="E107" s="18"/>
      <c r="F107" s="21"/>
    </row>
    <row r="108" spans="1:6" x14ac:dyDescent="0.25">
      <c r="A108" s="20"/>
      <c r="B108" s="26"/>
      <c r="C108" s="26"/>
      <c r="D108" s="18"/>
      <c r="E108" s="18"/>
      <c r="F108" s="21"/>
    </row>
    <row r="109" spans="1:6" x14ac:dyDescent="0.25">
      <c r="A109" s="20"/>
      <c r="B109" s="26"/>
      <c r="C109" s="26"/>
      <c r="D109" s="18"/>
      <c r="E109" s="18"/>
      <c r="F109" s="21"/>
    </row>
    <row r="110" spans="1:6" x14ac:dyDescent="0.25">
      <c r="A110" s="20"/>
      <c r="B110" s="26"/>
      <c r="C110" s="26"/>
      <c r="D110" s="18"/>
      <c r="E110" s="18"/>
      <c r="F110" s="21"/>
    </row>
    <row r="111" spans="1:6" x14ac:dyDescent="0.25">
      <c r="A111" s="20"/>
      <c r="B111" s="26"/>
      <c r="C111" s="26"/>
      <c r="D111" s="18"/>
      <c r="E111" s="18"/>
      <c r="F111" s="21"/>
    </row>
    <row r="112" spans="1:6" x14ac:dyDescent="0.25">
      <c r="A112" s="20"/>
      <c r="B112" s="26"/>
      <c r="C112" s="26"/>
      <c r="D112" s="18"/>
      <c r="E112" s="18"/>
      <c r="F112" s="21"/>
    </row>
    <row r="113" spans="1:6" x14ac:dyDescent="0.25">
      <c r="A113" s="20"/>
      <c r="B113" s="26"/>
      <c r="C113" s="26"/>
      <c r="D113" s="18"/>
      <c r="E113" s="18"/>
      <c r="F113" s="21"/>
    </row>
    <row r="114" spans="1:6" x14ac:dyDescent="0.25">
      <c r="A114" s="20"/>
      <c r="B114" s="26"/>
      <c r="C114" s="26"/>
      <c r="D114" s="18"/>
      <c r="E114" s="18"/>
      <c r="F114" s="21"/>
    </row>
    <row r="115" spans="1:6" x14ac:dyDescent="0.25">
      <c r="A115" s="20"/>
      <c r="B115" s="26"/>
      <c r="C115" s="26"/>
      <c r="D115" s="18"/>
      <c r="E115" s="18"/>
      <c r="F115" s="21"/>
    </row>
    <row r="116" spans="1:6" x14ac:dyDescent="0.25">
      <c r="A116" s="20"/>
      <c r="B116" s="26"/>
      <c r="C116" s="26"/>
      <c r="D116" s="18"/>
      <c r="E116" s="18"/>
      <c r="F116" s="21"/>
    </row>
    <row r="117" spans="1:6" x14ac:dyDescent="0.25">
      <c r="A117" s="20"/>
      <c r="B117" s="26"/>
      <c r="C117" s="26"/>
      <c r="D117" s="18"/>
      <c r="E117" s="18"/>
      <c r="F117" s="21"/>
    </row>
    <row r="118" spans="1:6" x14ac:dyDescent="0.25">
      <c r="A118" s="20"/>
      <c r="B118" s="26"/>
      <c r="C118" s="26"/>
      <c r="D118" s="18"/>
      <c r="E118" s="18"/>
      <c r="F118" s="21"/>
    </row>
    <row r="119" spans="1:6" x14ac:dyDescent="0.25">
      <c r="A119" s="20"/>
      <c r="B119" s="26"/>
      <c r="C119" s="26"/>
      <c r="D119" s="18"/>
      <c r="E119" s="18"/>
      <c r="F119" s="21"/>
    </row>
    <row r="120" spans="1:6" x14ac:dyDescent="0.25">
      <c r="A120" s="20"/>
      <c r="B120" s="26"/>
      <c r="C120" s="26"/>
      <c r="D120" s="18"/>
      <c r="E120" s="18"/>
      <c r="F120" s="21"/>
    </row>
    <row r="121" spans="1:6" x14ac:dyDescent="0.25">
      <c r="A121" s="20"/>
      <c r="B121" s="26"/>
      <c r="C121" s="26"/>
      <c r="D121" s="18"/>
      <c r="E121" s="18"/>
      <c r="F121" s="21"/>
    </row>
    <row r="122" spans="1:6" x14ac:dyDescent="0.25">
      <c r="A122" s="20"/>
      <c r="B122" s="26"/>
      <c r="C122" s="26"/>
      <c r="D122" s="18"/>
      <c r="E122" s="18"/>
      <c r="F122" s="21"/>
    </row>
    <row r="123" spans="1:6" x14ac:dyDescent="0.25">
      <c r="A123" s="20"/>
      <c r="B123" s="26"/>
      <c r="C123" s="26"/>
      <c r="D123" s="18"/>
      <c r="E123" s="18"/>
      <c r="F123" s="21"/>
    </row>
    <row r="124" spans="1:6" x14ac:dyDescent="0.25">
      <c r="A124" s="20"/>
      <c r="B124" s="26"/>
      <c r="C124" s="26"/>
      <c r="D124" s="18"/>
      <c r="E124" s="18"/>
      <c r="F124" s="21"/>
    </row>
    <row r="125" spans="1:6" x14ac:dyDescent="0.25">
      <c r="A125" s="20"/>
      <c r="B125" s="26"/>
      <c r="C125" s="26"/>
      <c r="D125" s="18"/>
      <c r="E125" s="18"/>
      <c r="F125" s="21"/>
    </row>
    <row r="126" spans="1:6" x14ac:dyDescent="0.25">
      <c r="A126" s="20"/>
      <c r="B126" s="26"/>
      <c r="C126" s="26"/>
      <c r="D126" s="18"/>
      <c r="E126" s="18"/>
      <c r="F126" s="21"/>
    </row>
    <row r="127" spans="1:6" x14ac:dyDescent="0.25">
      <c r="A127" s="20"/>
      <c r="B127" s="26"/>
      <c r="C127" s="26"/>
      <c r="D127" s="18"/>
      <c r="E127" s="18"/>
      <c r="F127" s="21"/>
    </row>
    <row r="128" spans="1:6" x14ac:dyDescent="0.25">
      <c r="A128" s="20"/>
      <c r="B128" s="26"/>
      <c r="C128" s="26"/>
      <c r="D128" s="18"/>
      <c r="E128" s="18"/>
      <c r="F128" s="21"/>
    </row>
    <row r="129" spans="1:6" x14ac:dyDescent="0.25">
      <c r="A129" s="20"/>
      <c r="B129" s="26"/>
      <c r="C129" s="26"/>
      <c r="D129" s="18"/>
      <c r="E129" s="18"/>
      <c r="F129" s="21"/>
    </row>
    <row r="130" spans="1:6" x14ac:dyDescent="0.25">
      <c r="A130" s="20"/>
      <c r="B130" s="26"/>
      <c r="C130" s="26"/>
      <c r="D130" s="18"/>
      <c r="E130" s="18"/>
      <c r="F130" s="21"/>
    </row>
    <row r="131" spans="1:6" x14ac:dyDescent="0.25">
      <c r="A131" s="20"/>
      <c r="B131" s="26"/>
      <c r="C131" s="26"/>
      <c r="D131" s="18"/>
      <c r="E131" s="18"/>
      <c r="F131" s="21"/>
    </row>
    <row r="132" spans="1:6" x14ac:dyDescent="0.25">
      <c r="A132" s="20"/>
      <c r="B132" s="26"/>
      <c r="C132" s="26"/>
      <c r="D132" s="18"/>
      <c r="E132" s="18"/>
      <c r="F132" s="21"/>
    </row>
    <row r="133" spans="1:6" x14ac:dyDescent="0.25">
      <c r="A133" s="20"/>
      <c r="B133" s="26"/>
      <c r="C133" s="26"/>
      <c r="D133" s="18"/>
      <c r="E133" s="18"/>
      <c r="F133" s="21"/>
    </row>
    <row r="134" spans="1:6" x14ac:dyDescent="0.25">
      <c r="A134" s="20"/>
      <c r="B134" s="26"/>
      <c r="C134" s="26"/>
      <c r="D134" s="18"/>
      <c r="E134" s="18"/>
      <c r="F134" s="21"/>
    </row>
    <row r="135" spans="1:6" x14ac:dyDescent="0.25">
      <c r="A135" s="20"/>
      <c r="B135" s="26"/>
      <c r="C135" s="26"/>
      <c r="D135" s="18"/>
      <c r="E135" s="18"/>
      <c r="F135" s="21"/>
    </row>
    <row r="136" spans="1:6" x14ac:dyDescent="0.25">
      <c r="A136" s="20"/>
      <c r="B136" s="26"/>
      <c r="C136" s="26"/>
      <c r="D136" s="18"/>
      <c r="E136" s="18"/>
      <c r="F136" s="21"/>
    </row>
    <row r="137" spans="1:6" x14ac:dyDescent="0.25">
      <c r="A137" s="20"/>
      <c r="B137" s="26"/>
      <c r="C137" s="26"/>
      <c r="D137" s="18"/>
      <c r="E137" s="18"/>
      <c r="F137" s="21"/>
    </row>
    <row r="138" spans="1:6" x14ac:dyDescent="0.25">
      <c r="A138" s="20"/>
      <c r="B138" s="26"/>
      <c r="C138" s="26"/>
      <c r="D138" s="18"/>
      <c r="E138" s="18"/>
      <c r="F138" s="21"/>
    </row>
    <row r="139" spans="1:6" x14ac:dyDescent="0.25">
      <c r="A139" s="20"/>
      <c r="B139" s="26"/>
      <c r="C139" s="26"/>
      <c r="D139" s="18"/>
      <c r="E139" s="18"/>
      <c r="F139" s="21"/>
    </row>
    <row r="140" spans="1:6" x14ac:dyDescent="0.25">
      <c r="A140" s="20"/>
      <c r="B140" s="26"/>
      <c r="C140" s="26"/>
      <c r="D140" s="18"/>
      <c r="E140" s="18"/>
      <c r="F140" s="21"/>
    </row>
    <row r="141" spans="1:6" x14ac:dyDescent="0.25">
      <c r="A141" s="20"/>
      <c r="B141" s="26"/>
      <c r="C141" s="26"/>
      <c r="D141" s="18"/>
      <c r="E141" s="18"/>
      <c r="F141" s="21"/>
    </row>
  </sheetData>
  <mergeCells count="112">
    <mergeCell ref="B34:C34"/>
    <mergeCell ref="B33:C33"/>
    <mergeCell ref="A11:B11"/>
    <mergeCell ref="B31:C31"/>
    <mergeCell ref="B32:C32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40:C140"/>
    <mergeCell ref="B141:C141"/>
    <mergeCell ref="B135:C135"/>
    <mergeCell ref="B136:C136"/>
    <mergeCell ref="B137:C137"/>
    <mergeCell ref="B138:C138"/>
    <mergeCell ref="B139:C1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8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8" t="s">
        <v>0</v>
      </c>
      <c r="B1" s="28" t="s">
        <v>1</v>
      </c>
      <c r="C1" s="29" t="s">
        <v>2</v>
      </c>
      <c r="D1" s="29" t="s">
        <v>3</v>
      </c>
    </row>
    <row r="2" spans="1:4" x14ac:dyDescent="0.25">
      <c r="A2" t="s">
        <v>5</v>
      </c>
      <c r="B2" s="2">
        <v>8.27</v>
      </c>
      <c r="C2" s="1">
        <v>3.1914893617021201</v>
      </c>
      <c r="D2" s="5">
        <f>B2*C2/100</f>
        <v>0.26393617021276528</v>
      </c>
    </row>
    <row r="3" spans="1:4" x14ac:dyDescent="0.25">
      <c r="A3" t="s">
        <v>4</v>
      </c>
      <c r="B3" s="2">
        <v>6.63</v>
      </c>
      <c r="C3" s="1">
        <v>0.27777777777777701</v>
      </c>
      <c r="D3" s="5">
        <f t="shared" ref="D3:D49" si="0">B3*C3/100</f>
        <v>1.8416666666666616E-2</v>
      </c>
    </row>
    <row r="4" spans="1:4" x14ac:dyDescent="0.25">
      <c r="A4" t="s">
        <v>8</v>
      </c>
      <c r="B4" s="2">
        <v>5</v>
      </c>
      <c r="C4" s="1">
        <v>0.66852367688022196</v>
      </c>
      <c r="D4" s="5">
        <f t="shared" si="0"/>
        <v>3.3426183844011102E-2</v>
      </c>
    </row>
    <row r="5" spans="1:4" x14ac:dyDescent="0.25">
      <c r="A5" t="s">
        <v>7</v>
      </c>
      <c r="B5" s="2">
        <v>5.74</v>
      </c>
      <c r="C5" s="1">
        <v>6.7897165458141</v>
      </c>
      <c r="D5" s="5">
        <f t="shared" si="0"/>
        <v>0.3897297297297293</v>
      </c>
    </row>
    <row r="6" spans="1:4" x14ac:dyDescent="0.25">
      <c r="A6" t="s">
        <v>51</v>
      </c>
      <c r="B6" s="2">
        <v>4.8600000000000003</v>
      </c>
      <c r="C6" s="1">
        <v>3.3632286995515601</v>
      </c>
      <c r="D6" s="5">
        <f t="shared" si="0"/>
        <v>0.16345291479820584</v>
      </c>
    </row>
    <row r="7" spans="1:4" x14ac:dyDescent="0.25">
      <c r="A7" t="s">
        <v>12</v>
      </c>
      <c r="B7" s="2">
        <v>7.44</v>
      </c>
      <c r="C7" s="1">
        <v>0.92514718250630701</v>
      </c>
      <c r="D7" s="5">
        <f t="shared" si="0"/>
        <v>6.8830950378469244E-2</v>
      </c>
    </row>
    <row r="8" spans="1:4" x14ac:dyDescent="0.25">
      <c r="A8" t="s">
        <v>17</v>
      </c>
      <c r="B8" s="23">
        <v>3.48</v>
      </c>
      <c r="C8" s="24">
        <v>4.4071353620146896</v>
      </c>
      <c r="D8" s="5">
        <f t="shared" si="0"/>
        <v>0.15336831059811121</v>
      </c>
    </row>
    <row r="9" spans="1:4" x14ac:dyDescent="0.25">
      <c r="A9" t="s">
        <v>10</v>
      </c>
      <c r="B9" s="2">
        <v>6.14</v>
      </c>
      <c r="C9" s="1">
        <v>7.1428571428571397</v>
      </c>
      <c r="D9" s="5">
        <f t="shared" si="0"/>
        <v>0.43857142857142833</v>
      </c>
    </row>
    <row r="10" spans="1:4" x14ac:dyDescent="0.25">
      <c r="A10" t="s">
        <v>6</v>
      </c>
      <c r="B10" s="2">
        <v>2.56</v>
      </c>
      <c r="C10" s="1">
        <v>-9.9567099567099504</v>
      </c>
      <c r="D10" s="5">
        <f t="shared" si="0"/>
        <v>-0.25489177489177473</v>
      </c>
    </row>
    <row r="11" spans="1:4" x14ac:dyDescent="0.25">
      <c r="A11" t="s">
        <v>18</v>
      </c>
      <c r="B11" s="2">
        <v>3.88</v>
      </c>
      <c r="C11" s="1">
        <v>-0.95751047277079604</v>
      </c>
      <c r="D11" s="5">
        <f t="shared" si="0"/>
        <v>-3.7151406343506881E-2</v>
      </c>
    </row>
    <row r="12" spans="1:4" x14ac:dyDescent="0.25">
      <c r="A12" t="s">
        <v>9</v>
      </c>
      <c r="B12" s="2">
        <v>7.9</v>
      </c>
      <c r="C12" s="33">
        <v>1.89393939393939</v>
      </c>
      <c r="D12" s="5">
        <f t="shared" si="0"/>
        <v>0.14962121212121182</v>
      </c>
    </row>
    <row r="13" spans="1:4" x14ac:dyDescent="0.25">
      <c r="A13" t="s">
        <v>11</v>
      </c>
      <c r="B13" s="23">
        <v>1.88</v>
      </c>
      <c r="C13" s="1">
        <v>0.177619893428063</v>
      </c>
      <c r="D13" s="5">
        <f t="shared" si="0"/>
        <v>3.3392539964475841E-3</v>
      </c>
    </row>
    <row r="14" spans="1:4" x14ac:dyDescent="0.25">
      <c r="A14" t="s">
        <v>52</v>
      </c>
      <c r="B14" s="23">
        <v>1.78</v>
      </c>
      <c r="C14" s="1">
        <v>-2.7027027027027</v>
      </c>
      <c r="D14" s="5">
        <f t="shared" si="0"/>
        <v>-4.8108108108108061E-2</v>
      </c>
    </row>
    <row r="15" spans="1:4" x14ac:dyDescent="0.25">
      <c r="A15" t="s">
        <v>53</v>
      </c>
      <c r="B15" s="23">
        <v>1.77</v>
      </c>
      <c r="C15" s="24">
        <v>0.77896786757546199</v>
      </c>
      <c r="D15" s="5">
        <f t="shared" si="0"/>
        <v>1.3787731256085678E-2</v>
      </c>
    </row>
    <row r="16" spans="1:4" x14ac:dyDescent="0.25">
      <c r="A16" t="s">
        <v>54</v>
      </c>
      <c r="B16" s="2">
        <v>1.24</v>
      </c>
      <c r="C16" s="1">
        <v>-1.76470588235294</v>
      </c>
      <c r="D16" s="5">
        <f t="shared" si="0"/>
        <v>-2.1882352941176453E-2</v>
      </c>
    </row>
    <row r="17" spans="1:4" x14ac:dyDescent="0.25">
      <c r="A17" t="s">
        <v>55</v>
      </c>
      <c r="B17" s="2">
        <v>1.61</v>
      </c>
      <c r="C17" s="1">
        <v>1.20292887029288</v>
      </c>
      <c r="D17" s="5">
        <f t="shared" si="0"/>
        <v>1.936715481171537E-2</v>
      </c>
    </row>
    <row r="18" spans="1:4" x14ac:dyDescent="0.25">
      <c r="A18" t="s">
        <v>56</v>
      </c>
      <c r="B18" s="2">
        <v>1.58</v>
      </c>
      <c r="C18" s="1">
        <v>1.98347107438016</v>
      </c>
      <c r="D18" s="5">
        <f t="shared" si="0"/>
        <v>3.1338842975206532E-2</v>
      </c>
    </row>
    <row r="19" spans="1:4" x14ac:dyDescent="0.25">
      <c r="A19" t="s">
        <v>57</v>
      </c>
      <c r="B19" s="2">
        <v>1.54</v>
      </c>
      <c r="C19" s="1">
        <v>2.1319120586275799</v>
      </c>
      <c r="D19" s="5">
        <f t="shared" si="0"/>
        <v>3.2831445702864732E-2</v>
      </c>
    </row>
    <row r="20" spans="1:4" x14ac:dyDescent="0.25">
      <c r="A20" t="s">
        <v>58</v>
      </c>
      <c r="B20" s="2">
        <v>1.1000000000000001</v>
      </c>
      <c r="C20" s="1">
        <v>0.26525198938992001</v>
      </c>
      <c r="D20" s="5">
        <f t="shared" si="0"/>
        <v>2.9177718832891202E-3</v>
      </c>
    </row>
    <row r="21" spans="1:4" x14ac:dyDescent="0.25">
      <c r="A21" t="s">
        <v>59</v>
      </c>
      <c r="B21" s="2">
        <v>1.06</v>
      </c>
      <c r="C21" s="1">
        <v>0.48128342245989297</v>
      </c>
      <c r="D21" s="5">
        <f t="shared" si="0"/>
        <v>5.1016042780748661E-3</v>
      </c>
    </row>
    <row r="22" spans="1:4" x14ac:dyDescent="0.25">
      <c r="A22" t="s">
        <v>60</v>
      </c>
      <c r="B22" s="2">
        <v>0.99</v>
      </c>
      <c r="C22" s="1">
        <v>-1.5172413793103401</v>
      </c>
      <c r="D22" s="5">
        <f t="shared" si="0"/>
        <v>-1.5020689655172366E-2</v>
      </c>
    </row>
    <row r="23" spans="1:4" x14ac:dyDescent="0.25">
      <c r="A23" t="s">
        <v>61</v>
      </c>
      <c r="B23" s="23">
        <v>0.98</v>
      </c>
      <c r="C23" s="24">
        <v>1.13759479956663</v>
      </c>
      <c r="D23" s="5">
        <f t="shared" si="0"/>
        <v>1.1148429035752973E-2</v>
      </c>
    </row>
    <row r="24" spans="1:4" x14ac:dyDescent="0.25">
      <c r="A24" t="s">
        <v>62</v>
      </c>
      <c r="B24" s="23">
        <v>0.82</v>
      </c>
      <c r="C24" s="24">
        <v>0.179640718562874</v>
      </c>
      <c r="D24" s="5">
        <f t="shared" si="0"/>
        <v>1.4730538922155666E-3</v>
      </c>
    </row>
    <row r="25" spans="1:4" x14ac:dyDescent="0.25">
      <c r="A25" t="s">
        <v>63</v>
      </c>
      <c r="B25" s="23">
        <v>0.88</v>
      </c>
      <c r="C25" s="24">
        <v>3.4455128205128198</v>
      </c>
      <c r="D25" s="5">
        <f t="shared" si="0"/>
        <v>3.0320512820512815E-2</v>
      </c>
    </row>
    <row r="26" spans="1:4" x14ac:dyDescent="0.25">
      <c r="A26" t="s">
        <v>64</v>
      </c>
      <c r="B26" s="23">
        <v>0.72</v>
      </c>
      <c r="C26" s="24">
        <v>1.59779614325068</v>
      </c>
      <c r="D26" s="5">
        <f t="shared" si="0"/>
        <v>1.1504132231404895E-2</v>
      </c>
    </row>
    <row r="27" spans="1:4" x14ac:dyDescent="0.25">
      <c r="A27" t="s">
        <v>65</v>
      </c>
      <c r="B27" s="23">
        <v>0.8</v>
      </c>
      <c r="C27" s="24">
        <v>1.5972222222222201</v>
      </c>
      <c r="D27" s="5">
        <f t="shared" si="0"/>
        <v>1.2777777777777761E-2</v>
      </c>
    </row>
    <row r="28" spans="1:4" x14ac:dyDescent="0.25">
      <c r="A28" t="s">
        <v>66</v>
      </c>
      <c r="B28" s="23">
        <v>0.75</v>
      </c>
      <c r="C28" s="24">
        <v>9.9826889786497404</v>
      </c>
      <c r="D28" s="5">
        <f t="shared" si="0"/>
        <v>7.4870167339873048E-2</v>
      </c>
    </row>
    <row r="29" spans="1:4" x14ac:dyDescent="0.25">
      <c r="A29" t="s">
        <v>67</v>
      </c>
      <c r="B29" s="23">
        <v>0.56000000000000005</v>
      </c>
      <c r="C29" s="24">
        <v>1.1376564277588099</v>
      </c>
      <c r="D29" s="5">
        <f t="shared" si="0"/>
        <v>6.3708759954493365E-3</v>
      </c>
    </row>
    <row r="30" spans="1:4" x14ac:dyDescent="0.25">
      <c r="A30" t="s">
        <v>68</v>
      </c>
      <c r="B30" s="23">
        <v>0.55000000000000004</v>
      </c>
      <c r="C30" s="24">
        <v>-0.35056967572304998</v>
      </c>
      <c r="D30" s="5">
        <f t="shared" si="0"/>
        <v>-1.9281332164767752E-3</v>
      </c>
    </row>
    <row r="31" spans="1:4" x14ac:dyDescent="0.25">
      <c r="A31" t="s">
        <v>69</v>
      </c>
      <c r="B31" s="23">
        <v>0.52</v>
      </c>
      <c r="C31" s="24">
        <v>3.4076827757125101</v>
      </c>
      <c r="D31" s="5">
        <f t="shared" si="0"/>
        <v>1.7719950433705053E-2</v>
      </c>
    </row>
    <row r="32" spans="1:4" x14ac:dyDescent="0.25">
      <c r="A32" t="s">
        <v>70</v>
      </c>
      <c r="B32" s="23">
        <v>0.5</v>
      </c>
      <c r="C32" s="24">
        <v>0.52790346907993901</v>
      </c>
      <c r="D32" s="5">
        <f t="shared" si="0"/>
        <v>2.639517345399695E-3</v>
      </c>
    </row>
    <row r="33" spans="1:4" x14ac:dyDescent="0.25">
      <c r="A33" t="s">
        <v>71</v>
      </c>
      <c r="B33" s="23">
        <v>0.36</v>
      </c>
      <c r="C33" s="24">
        <v>2.48352762290927</v>
      </c>
      <c r="D33" s="5">
        <f t="shared" si="0"/>
        <v>8.940699442473372E-3</v>
      </c>
    </row>
    <row r="34" spans="1:4" x14ac:dyDescent="0.25">
      <c r="A34" t="s">
        <v>72</v>
      </c>
      <c r="B34" s="23">
        <v>0.47</v>
      </c>
      <c r="C34" s="24">
        <v>0.54005400540054005</v>
      </c>
      <c r="D34" s="5">
        <f t="shared" si="0"/>
        <v>2.5382538253825382E-3</v>
      </c>
    </row>
    <row r="35" spans="1:4" x14ac:dyDescent="0.25">
      <c r="A35" t="s">
        <v>73</v>
      </c>
      <c r="B35" s="23">
        <v>0.46</v>
      </c>
      <c r="C35" s="24">
        <v>2.2668393782383398</v>
      </c>
      <c r="D35" s="5">
        <f t="shared" si="0"/>
        <v>1.0427461139896364E-2</v>
      </c>
    </row>
    <row r="36" spans="1:4" x14ac:dyDescent="0.25">
      <c r="A36" t="s">
        <v>74</v>
      </c>
      <c r="B36" s="23">
        <v>0.37</v>
      </c>
      <c r="C36" s="24">
        <v>2.4551463644948002</v>
      </c>
      <c r="D36" s="5">
        <f t="shared" si="0"/>
        <v>9.0840415486307599E-3</v>
      </c>
    </row>
    <row r="37" spans="1:4" x14ac:dyDescent="0.25">
      <c r="A37" t="s">
        <v>75</v>
      </c>
      <c r="B37" s="23">
        <v>0.45</v>
      </c>
      <c r="C37" s="24">
        <v>0.38961038961038902</v>
      </c>
      <c r="D37" s="5">
        <f t="shared" si="0"/>
        <v>1.7532467532467505E-3</v>
      </c>
    </row>
    <row r="38" spans="1:4" x14ac:dyDescent="0.25">
      <c r="A38" t="s">
        <v>76</v>
      </c>
      <c r="B38" s="23">
        <v>0.4</v>
      </c>
      <c r="C38" s="24">
        <v>1.2086513994910899</v>
      </c>
      <c r="D38" s="5">
        <f t="shared" si="0"/>
        <v>4.83460559796436E-3</v>
      </c>
    </row>
    <row r="39" spans="1:4" x14ac:dyDescent="0.25">
      <c r="A39" t="s">
        <v>15</v>
      </c>
      <c r="B39" s="23">
        <v>0.37</v>
      </c>
      <c r="C39" s="24">
        <v>9.9539170506912402</v>
      </c>
      <c r="D39" s="5">
        <f t="shared" si="0"/>
        <v>3.6829493087557591E-2</v>
      </c>
    </row>
    <row r="40" spans="1:4" x14ac:dyDescent="0.25">
      <c r="A40" t="s">
        <v>77</v>
      </c>
      <c r="B40" s="23">
        <v>0.39</v>
      </c>
      <c r="C40" s="24">
        <v>-0.51786639047125804</v>
      </c>
      <c r="D40" s="5">
        <f t="shared" si="0"/>
        <v>-2.0196789228379064E-3</v>
      </c>
    </row>
    <row r="41" spans="1:4" x14ac:dyDescent="0.25">
      <c r="A41" t="s">
        <v>78</v>
      </c>
      <c r="B41" s="23">
        <v>0.34</v>
      </c>
      <c r="C41" s="24">
        <v>-1.36222910216718</v>
      </c>
      <c r="D41" s="5">
        <f t="shared" si="0"/>
        <v>-4.6315789473684119E-3</v>
      </c>
    </row>
    <row r="42" spans="1:4" x14ac:dyDescent="0.25">
      <c r="A42" t="s">
        <v>79</v>
      </c>
      <c r="B42" s="23">
        <v>0.3</v>
      </c>
      <c r="C42" s="24">
        <v>0</v>
      </c>
      <c r="D42" s="5">
        <f t="shared" si="0"/>
        <v>0</v>
      </c>
    </row>
    <row r="43" spans="1:4" x14ac:dyDescent="0.25">
      <c r="A43" t="s">
        <v>80</v>
      </c>
      <c r="B43" s="23">
        <v>0.25</v>
      </c>
      <c r="C43" s="24">
        <v>4.0983606557377001</v>
      </c>
      <c r="D43" s="5">
        <f t="shared" si="0"/>
        <v>1.0245901639344251E-2</v>
      </c>
    </row>
    <row r="44" spans="1:4" x14ac:dyDescent="0.25">
      <c r="A44" t="s">
        <v>14</v>
      </c>
      <c r="B44" s="23">
        <v>0.1</v>
      </c>
      <c r="C44" s="24">
        <v>-9.9216710182767596</v>
      </c>
      <c r="D44" s="5">
        <f t="shared" si="0"/>
        <v>-9.9216710182767603E-3</v>
      </c>
    </row>
    <row r="45" spans="1:4" x14ac:dyDescent="0.25">
      <c r="A45" t="s">
        <v>81</v>
      </c>
      <c r="B45" s="23">
        <v>0.22</v>
      </c>
      <c r="C45" s="24">
        <v>2.0581113801452702</v>
      </c>
      <c r="D45" s="5">
        <f t="shared" si="0"/>
        <v>4.527845036319594E-3</v>
      </c>
    </row>
    <row r="46" spans="1:4" x14ac:dyDescent="0.25">
      <c r="A46" t="s">
        <v>82</v>
      </c>
      <c r="B46" s="23">
        <v>0.08</v>
      </c>
      <c r="C46" s="24">
        <v>-8.0256821829855496E-2</v>
      </c>
      <c r="D46" s="5">
        <f t="shared" si="0"/>
        <v>-6.42054574638844E-5</v>
      </c>
    </row>
    <row r="47" spans="1:4" x14ac:dyDescent="0.25">
      <c r="A47" t="s">
        <v>83</v>
      </c>
      <c r="B47" s="23">
        <v>0.01</v>
      </c>
      <c r="C47" s="24">
        <v>9.0909090909090898E-2</v>
      </c>
      <c r="D47" s="5">
        <f t="shared" si="0"/>
        <v>9.0909090909090893E-6</v>
      </c>
    </row>
    <row r="48" spans="1:4" x14ac:dyDescent="0.25">
      <c r="A48" t="s">
        <v>84</v>
      </c>
      <c r="B48" s="23">
        <v>3.34</v>
      </c>
      <c r="C48" s="24">
        <v>0.12</v>
      </c>
      <c r="D48" s="5">
        <f t="shared" si="0"/>
        <v>4.0080000000000003E-3</v>
      </c>
    </row>
    <row r="49" spans="1:6" x14ac:dyDescent="0.25">
      <c r="A49" t="s">
        <v>85</v>
      </c>
      <c r="B49" s="23">
        <v>2.5499999999999998</v>
      </c>
      <c r="C49" s="24">
        <v>0.12</v>
      </c>
      <c r="D49" s="5">
        <f t="shared" si="0"/>
        <v>3.0599999999999998E-3</v>
      </c>
    </row>
    <row r="50" spans="1:6" x14ac:dyDescent="0.25">
      <c r="A50" s="34" t="s">
        <v>24</v>
      </c>
      <c r="B50" s="30">
        <f>SUM(B2:B49)</f>
        <v>93.989999999999981</v>
      </c>
      <c r="C50" s="30"/>
      <c r="D50" s="31">
        <f>SUM(D2:D49)</f>
        <v>1.6575008281741193</v>
      </c>
    </row>
    <row r="60" spans="1:6" x14ac:dyDescent="0.25">
      <c r="A60" s="3"/>
      <c r="B60" s="27"/>
      <c r="C60" s="27"/>
      <c r="D60" s="17"/>
      <c r="E60" s="3"/>
      <c r="F60" s="3"/>
    </row>
    <row r="61" spans="1:6" x14ac:dyDescent="0.25">
      <c r="A61" s="20"/>
      <c r="B61" s="26"/>
      <c r="C61" s="26"/>
      <c r="D61" s="18"/>
      <c r="E61" s="18"/>
      <c r="F61" s="21"/>
    </row>
    <row r="62" spans="1:6" x14ac:dyDescent="0.25">
      <c r="A62" s="20"/>
      <c r="B62" s="26"/>
      <c r="C62" s="26"/>
      <c r="D62" s="18"/>
      <c r="E62" s="18"/>
      <c r="F62" s="21"/>
    </row>
    <row r="63" spans="1:6" x14ac:dyDescent="0.25">
      <c r="A63" s="20"/>
      <c r="B63" s="26"/>
      <c r="C63" s="26"/>
      <c r="D63" s="18"/>
      <c r="E63" s="18"/>
      <c r="F63" s="21"/>
    </row>
    <row r="64" spans="1:6" x14ac:dyDescent="0.25">
      <c r="A64" s="20"/>
      <c r="B64" s="26"/>
      <c r="C64" s="26"/>
      <c r="D64" s="18"/>
      <c r="E64" s="18"/>
      <c r="F64" s="21"/>
    </row>
    <row r="65" spans="1:6" x14ac:dyDescent="0.25">
      <c r="A65" s="20"/>
      <c r="B65" s="26"/>
      <c r="C65" s="26"/>
      <c r="D65" s="18"/>
      <c r="E65" s="18"/>
      <c r="F65" s="21"/>
    </row>
    <row r="66" spans="1:6" x14ac:dyDescent="0.25">
      <c r="A66" s="20"/>
      <c r="B66" s="26"/>
      <c r="C66" s="26"/>
      <c r="D66" s="18"/>
      <c r="E66" s="18"/>
      <c r="F66" s="21"/>
    </row>
    <row r="67" spans="1:6" x14ac:dyDescent="0.25">
      <c r="A67" s="20"/>
      <c r="B67" s="26"/>
      <c r="C67" s="26"/>
      <c r="D67" s="18"/>
      <c r="E67" s="18"/>
      <c r="F67" s="21"/>
    </row>
    <row r="68" spans="1:6" x14ac:dyDescent="0.25">
      <c r="A68" s="20"/>
      <c r="B68" s="26"/>
      <c r="C68" s="26"/>
      <c r="D68" s="18"/>
      <c r="E68" s="18"/>
      <c r="F68" s="21"/>
    </row>
    <row r="69" spans="1:6" x14ac:dyDescent="0.25">
      <c r="A69" s="20"/>
      <c r="B69" s="26"/>
      <c r="C69" s="26"/>
      <c r="D69" s="18"/>
      <c r="E69" s="18"/>
      <c r="F69" s="21"/>
    </row>
    <row r="70" spans="1:6" x14ac:dyDescent="0.25">
      <c r="A70" s="20"/>
      <c r="B70" s="26"/>
      <c r="C70" s="26"/>
      <c r="D70" s="18"/>
      <c r="E70" s="18"/>
      <c r="F70" s="21"/>
    </row>
    <row r="71" spans="1:6" x14ac:dyDescent="0.25">
      <c r="A71" s="20"/>
      <c r="B71" s="26"/>
      <c r="C71" s="26"/>
      <c r="D71" s="18"/>
      <c r="E71" s="18"/>
      <c r="F71" s="21"/>
    </row>
    <row r="72" spans="1:6" x14ac:dyDescent="0.25">
      <c r="A72" s="20"/>
      <c r="B72" s="26"/>
      <c r="C72" s="26"/>
      <c r="D72" s="18"/>
      <c r="E72" s="18"/>
      <c r="F72" s="21"/>
    </row>
    <row r="73" spans="1:6" x14ac:dyDescent="0.25">
      <c r="A73" s="20"/>
      <c r="B73" s="26"/>
      <c r="C73" s="26"/>
      <c r="D73" s="18"/>
      <c r="E73" s="18"/>
      <c r="F73" s="21"/>
    </row>
    <row r="74" spans="1:6" x14ac:dyDescent="0.25">
      <c r="F74" s="21"/>
    </row>
    <row r="75" spans="1:6" x14ac:dyDescent="0.25">
      <c r="F75" s="21"/>
    </row>
    <row r="76" spans="1:6" x14ac:dyDescent="0.25">
      <c r="F76" s="21"/>
    </row>
    <row r="77" spans="1:6" x14ac:dyDescent="0.25">
      <c r="F77" s="21"/>
    </row>
    <row r="78" spans="1:6" x14ac:dyDescent="0.25">
      <c r="F78" s="21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6"/>
  <sheetViews>
    <sheetView workbookViewId="0">
      <selection activeCell="G38" sqref="G38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8" t="s">
        <v>0</v>
      </c>
      <c r="B1" s="28" t="s">
        <v>1</v>
      </c>
      <c r="C1" s="29" t="s">
        <v>2</v>
      </c>
      <c r="D1" s="29" t="s">
        <v>3</v>
      </c>
    </row>
    <row r="2" spans="1:4" x14ac:dyDescent="0.25">
      <c r="A2" s="2" t="s">
        <v>78</v>
      </c>
      <c r="B2" s="2">
        <v>5.71</v>
      </c>
      <c r="C2" s="6">
        <v>-1.36222910216718</v>
      </c>
      <c r="D2" s="5">
        <f>B2*C2/100</f>
        <v>-7.7783281733745976E-2</v>
      </c>
    </row>
    <row r="3" spans="1:4" x14ac:dyDescent="0.25">
      <c r="A3" s="2" t="s">
        <v>4</v>
      </c>
      <c r="B3" s="2">
        <v>5.66</v>
      </c>
      <c r="C3" s="6">
        <v>0.27777777777777701</v>
      </c>
      <c r="D3" s="5">
        <f>B3*C3/100</f>
        <v>1.5722222222222179E-2</v>
      </c>
    </row>
    <row r="4" spans="1:4" x14ac:dyDescent="0.25">
      <c r="A4" s="2" t="s">
        <v>8</v>
      </c>
      <c r="B4" s="2">
        <v>6.71</v>
      </c>
      <c r="C4" s="6">
        <v>0.66852367688022196</v>
      </c>
      <c r="D4" s="5">
        <f t="shared" ref="D4:D34" si="0">B4*C4/100</f>
        <v>4.4857938718662893E-2</v>
      </c>
    </row>
    <row r="5" spans="1:4" x14ac:dyDescent="0.25">
      <c r="A5" s="2" t="s">
        <v>6</v>
      </c>
      <c r="B5" s="2">
        <v>3.27</v>
      </c>
      <c r="C5" s="6">
        <v>-9.9567099567099504</v>
      </c>
      <c r="D5" s="5">
        <f t="shared" si="0"/>
        <v>-0.32558441558441537</v>
      </c>
    </row>
    <row r="6" spans="1:4" x14ac:dyDescent="0.25">
      <c r="A6" s="2" t="s">
        <v>15</v>
      </c>
      <c r="B6" s="2">
        <v>4.62</v>
      </c>
      <c r="C6" s="6">
        <v>9.9539170506912402</v>
      </c>
      <c r="D6" s="5">
        <f t="shared" si="0"/>
        <v>0.45987096774193531</v>
      </c>
    </row>
    <row r="7" spans="1:4" x14ac:dyDescent="0.25">
      <c r="A7" s="2" t="s">
        <v>18</v>
      </c>
      <c r="B7" s="2">
        <v>6.79</v>
      </c>
      <c r="C7" s="6">
        <v>-0.95751047277079604</v>
      </c>
      <c r="D7" s="5">
        <f t="shared" si="0"/>
        <v>-6.5014961101137053E-2</v>
      </c>
    </row>
    <row r="8" spans="1:4" x14ac:dyDescent="0.25">
      <c r="A8" s="2" t="s">
        <v>21</v>
      </c>
      <c r="B8" s="2">
        <v>3.09</v>
      </c>
      <c r="C8" s="6">
        <v>-8.5054080629301794</v>
      </c>
      <c r="D8" s="5">
        <f t="shared" si="0"/>
        <v>-0.26281710914454254</v>
      </c>
    </row>
    <row r="9" spans="1:4" x14ac:dyDescent="0.25">
      <c r="A9" s="2" t="s">
        <v>9</v>
      </c>
      <c r="B9" s="2">
        <v>4.28</v>
      </c>
      <c r="C9" s="6">
        <v>1.89393939393939</v>
      </c>
      <c r="D9" s="5">
        <f t="shared" si="0"/>
        <v>8.1060606060605889E-2</v>
      </c>
    </row>
    <row r="10" spans="1:4" x14ac:dyDescent="0.25">
      <c r="A10" s="2" t="s">
        <v>86</v>
      </c>
      <c r="B10" s="2">
        <v>3.63</v>
      </c>
      <c r="C10" s="6">
        <v>9.9510603588907003</v>
      </c>
      <c r="D10" s="5">
        <f t="shared" si="0"/>
        <v>0.36122349102773244</v>
      </c>
    </row>
    <row r="11" spans="1:4" x14ac:dyDescent="0.25">
      <c r="A11" s="2" t="s">
        <v>32</v>
      </c>
      <c r="B11" s="2">
        <v>1.84</v>
      </c>
      <c r="C11" s="6">
        <v>-2.62008733624454</v>
      </c>
      <c r="D11" s="5">
        <f t="shared" si="0"/>
        <v>-4.8209606986899543E-2</v>
      </c>
    </row>
    <row r="12" spans="1:4" x14ac:dyDescent="0.25">
      <c r="A12" s="2" t="s">
        <v>87</v>
      </c>
      <c r="B12" s="2">
        <v>2.79</v>
      </c>
      <c r="C12" s="6">
        <v>1.1456628477905</v>
      </c>
      <c r="D12" s="5">
        <f t="shared" si="0"/>
        <v>3.1963993453354947E-2</v>
      </c>
    </row>
    <row r="13" spans="1:4" x14ac:dyDescent="0.25">
      <c r="A13" s="2" t="s">
        <v>56</v>
      </c>
      <c r="B13" s="2">
        <v>2.25</v>
      </c>
      <c r="C13" s="6">
        <v>1.98347107438016</v>
      </c>
      <c r="D13" s="5">
        <f t="shared" si="0"/>
        <v>4.46280991735536E-2</v>
      </c>
    </row>
    <row r="14" spans="1:4" x14ac:dyDescent="0.25">
      <c r="A14" s="2" t="s">
        <v>88</v>
      </c>
      <c r="B14" s="2">
        <v>3.4</v>
      </c>
      <c r="C14" s="6">
        <v>-2.21606648199446</v>
      </c>
      <c r="D14" s="5">
        <f t="shared" si="0"/>
        <v>-7.5346260387811628E-2</v>
      </c>
    </row>
    <row r="15" spans="1:4" x14ac:dyDescent="0.25">
      <c r="A15" s="2" t="s">
        <v>89</v>
      </c>
      <c r="B15" s="2">
        <v>2.39</v>
      </c>
      <c r="C15" s="6">
        <v>-3.4917555771096001</v>
      </c>
      <c r="D15" s="5">
        <f t="shared" si="0"/>
        <v>-8.3452958292919432E-2</v>
      </c>
    </row>
    <row r="16" spans="1:4" x14ac:dyDescent="0.25">
      <c r="A16" s="2" t="s">
        <v>90</v>
      </c>
      <c r="B16" s="2">
        <v>2.4300000000000002</v>
      </c>
      <c r="C16" s="6">
        <v>0.38850038850038798</v>
      </c>
      <c r="D16" s="5">
        <f t="shared" si="0"/>
        <v>9.4405594405594286E-3</v>
      </c>
    </row>
    <row r="17" spans="1:5" x14ac:dyDescent="0.25">
      <c r="A17" s="2" t="s">
        <v>91</v>
      </c>
      <c r="B17" s="2">
        <v>3.26</v>
      </c>
      <c r="C17" s="6">
        <v>0.55074744295830003</v>
      </c>
      <c r="D17" s="5">
        <f t="shared" si="0"/>
        <v>1.7954366640440578E-2</v>
      </c>
    </row>
    <row r="18" spans="1:5" x14ac:dyDescent="0.25">
      <c r="A18" s="2" t="s">
        <v>92</v>
      </c>
      <c r="B18" s="2">
        <v>0.83</v>
      </c>
      <c r="C18" s="6">
        <v>-5</v>
      </c>
      <c r="D18" s="5">
        <f t="shared" si="0"/>
        <v>-4.1499999999999995E-2</v>
      </c>
    </row>
    <row r="19" spans="1:5" x14ac:dyDescent="0.25">
      <c r="A19" s="2" t="s">
        <v>93</v>
      </c>
      <c r="B19" s="2">
        <v>2.4700000000000002</v>
      </c>
      <c r="C19" s="6">
        <v>-6.3694267515923497E-2</v>
      </c>
      <c r="D19" s="5">
        <f t="shared" si="0"/>
        <v>-1.5732484076433106E-3</v>
      </c>
    </row>
    <row r="20" spans="1:5" x14ac:dyDescent="0.25">
      <c r="A20" s="2" t="s">
        <v>10</v>
      </c>
      <c r="B20" s="2">
        <v>1.85</v>
      </c>
      <c r="C20" s="6">
        <v>7.1428571428571397</v>
      </c>
      <c r="D20" s="5">
        <f t="shared" si="0"/>
        <v>0.13214285714285709</v>
      </c>
    </row>
    <row r="21" spans="1:5" x14ac:dyDescent="0.25">
      <c r="A21" s="2" t="s">
        <v>66</v>
      </c>
      <c r="B21" s="2">
        <v>2.62</v>
      </c>
      <c r="C21" s="6">
        <v>9.9826889786497404</v>
      </c>
      <c r="D21" s="5">
        <f t="shared" si="0"/>
        <v>0.2615464512406232</v>
      </c>
    </row>
    <row r="22" spans="1:5" x14ac:dyDescent="0.25">
      <c r="A22" s="2" t="s">
        <v>13</v>
      </c>
      <c r="B22" s="2">
        <v>2.59</v>
      </c>
      <c r="C22" s="6">
        <v>3.18949343339587</v>
      </c>
      <c r="D22" s="5">
        <f t="shared" si="0"/>
        <v>8.2607879924953026E-2</v>
      </c>
    </row>
    <row r="23" spans="1:5" x14ac:dyDescent="0.25">
      <c r="A23" s="2" t="s">
        <v>94</v>
      </c>
      <c r="B23" s="2">
        <v>1.56</v>
      </c>
      <c r="C23" s="6">
        <v>1.86440677966101</v>
      </c>
      <c r="D23" s="5">
        <f t="shared" si="0"/>
        <v>2.9084745762711757E-2</v>
      </c>
    </row>
    <row r="24" spans="1:5" x14ac:dyDescent="0.25">
      <c r="A24" s="2" t="s">
        <v>7</v>
      </c>
      <c r="B24" s="2">
        <v>2.4</v>
      </c>
      <c r="C24" s="6">
        <v>6.7897165458141</v>
      </c>
      <c r="D24" s="5">
        <f t="shared" si="0"/>
        <v>0.1629531970995384</v>
      </c>
    </row>
    <row r="25" spans="1:5" x14ac:dyDescent="0.25">
      <c r="A25" s="2" t="s">
        <v>95</v>
      </c>
      <c r="B25" s="2">
        <v>1.6</v>
      </c>
      <c r="C25" s="6">
        <v>1.5180265654648899</v>
      </c>
      <c r="D25" s="5">
        <f t="shared" si="0"/>
        <v>2.428842504743824E-2</v>
      </c>
    </row>
    <row r="26" spans="1:5" x14ac:dyDescent="0.25">
      <c r="A26" s="2" t="s">
        <v>16</v>
      </c>
      <c r="B26" s="2">
        <v>5.0599999999999996</v>
      </c>
      <c r="C26" s="6">
        <v>2.2458628841607502</v>
      </c>
      <c r="D26" s="5">
        <f t="shared" si="0"/>
        <v>0.11364066193853395</v>
      </c>
    </row>
    <row r="27" spans="1:5" x14ac:dyDescent="0.25">
      <c r="A27" s="2" t="s">
        <v>96</v>
      </c>
      <c r="B27" s="2">
        <v>1.76</v>
      </c>
      <c r="C27" s="6">
        <v>1.67224080267558</v>
      </c>
      <c r="D27" s="5">
        <f t="shared" si="0"/>
        <v>2.9431438127090207E-2</v>
      </c>
    </row>
    <row r="28" spans="1:5" x14ac:dyDescent="0.25">
      <c r="A28" s="2" t="s">
        <v>97</v>
      </c>
      <c r="B28" s="2">
        <v>0.99</v>
      </c>
      <c r="C28" s="6">
        <v>-1.29870129870129</v>
      </c>
      <c r="D28" s="5">
        <f t="shared" si="0"/>
        <v>-1.2857142857142772E-2</v>
      </c>
    </row>
    <row r="29" spans="1:5" x14ac:dyDescent="0.25">
      <c r="A29" s="2" t="s">
        <v>98</v>
      </c>
      <c r="B29" s="2">
        <v>1.59</v>
      </c>
      <c r="C29" s="6">
        <v>3.5526315789473601</v>
      </c>
      <c r="D29" s="5">
        <f t="shared" si="0"/>
        <v>5.648684210526303E-2</v>
      </c>
      <c r="E29" s="2"/>
    </row>
    <row r="30" spans="1:5" x14ac:dyDescent="0.25">
      <c r="A30" s="2" t="s">
        <v>99</v>
      </c>
      <c r="B30" s="2">
        <v>0.61</v>
      </c>
      <c r="C30" s="11">
        <v>3.23886639676113</v>
      </c>
      <c r="D30" s="5">
        <f t="shared" si="0"/>
        <v>1.9757085020242891E-2</v>
      </c>
      <c r="E30" s="14"/>
    </row>
    <row r="31" spans="1:5" x14ac:dyDescent="0.25">
      <c r="A31" s="2" t="s">
        <v>17</v>
      </c>
      <c r="B31" s="2">
        <v>0.6</v>
      </c>
      <c r="C31" s="6">
        <v>4.4071353620146896</v>
      </c>
      <c r="D31" s="5">
        <f t="shared" si="0"/>
        <v>2.6442812172088135E-2</v>
      </c>
    </row>
    <row r="32" spans="1:5" x14ac:dyDescent="0.25">
      <c r="A32" s="2" t="s">
        <v>100</v>
      </c>
      <c r="B32" s="2">
        <v>0.49</v>
      </c>
      <c r="C32" s="6">
        <v>-5.7177615571776101</v>
      </c>
      <c r="D32" s="5">
        <f t="shared" si="0"/>
        <v>-2.8017031630170289E-2</v>
      </c>
      <c r="E32" s="3"/>
    </row>
    <row r="33" spans="1:5" x14ac:dyDescent="0.25">
      <c r="A33" s="2" t="s">
        <v>101</v>
      </c>
      <c r="B33" s="2">
        <v>0.91</v>
      </c>
      <c r="C33" s="11">
        <v>-1.5889830508474501</v>
      </c>
      <c r="D33" s="5">
        <f t="shared" si="0"/>
        <v>-1.4459745762711796E-2</v>
      </c>
      <c r="E33" s="18"/>
    </row>
    <row r="34" spans="1:5" x14ac:dyDescent="0.25">
      <c r="A34" s="2" t="s">
        <v>102</v>
      </c>
      <c r="B34" s="2">
        <v>0.05</v>
      </c>
      <c r="C34" s="6">
        <v>-2.98507462686567</v>
      </c>
      <c r="D34" s="5">
        <f t="shared" si="0"/>
        <v>-1.4925373134328352E-3</v>
      </c>
      <c r="E34" s="19"/>
    </row>
    <row r="35" spans="1:5" x14ac:dyDescent="0.25">
      <c r="A35" s="34" t="s">
        <v>24</v>
      </c>
      <c r="B35" s="31">
        <f>SUM(B2:B34)</f>
        <v>90.100000000000009</v>
      </c>
      <c r="C35" s="30"/>
      <c r="D35" s="31">
        <f>SUM(D2:D34)</f>
        <v>0.96699634085783459</v>
      </c>
      <c r="E35" s="19"/>
    </row>
    <row r="36" spans="1:5" x14ac:dyDescent="0.25">
      <c r="A36" s="15"/>
      <c r="B36" s="26"/>
      <c r="C36" s="26"/>
      <c r="D36" s="22"/>
      <c r="E36" s="19"/>
    </row>
    <row r="37" spans="1:5" x14ac:dyDescent="0.25">
      <c r="A37" s="15"/>
      <c r="B37" s="26"/>
      <c r="C37" s="26"/>
      <c r="D37" s="22"/>
      <c r="E37" s="19"/>
    </row>
    <row r="38" spans="1:5" x14ac:dyDescent="0.25">
      <c r="A38" s="15"/>
      <c r="B38" s="26"/>
      <c r="C38" s="26"/>
      <c r="D38" s="22"/>
      <c r="E38" s="19"/>
    </row>
    <row r="39" spans="1:5" x14ac:dyDescent="0.25">
      <c r="A39" s="15"/>
      <c r="B39" s="26"/>
      <c r="C39" s="26"/>
      <c r="D39" s="22"/>
      <c r="E39" s="19"/>
    </row>
    <row r="40" spans="1:5" x14ac:dyDescent="0.25">
      <c r="A40" s="15"/>
      <c r="B40" s="26"/>
      <c r="C40" s="26"/>
      <c r="D40" s="22"/>
      <c r="E40" s="19"/>
    </row>
    <row r="41" spans="1:5" x14ac:dyDescent="0.25">
      <c r="A41" s="15"/>
      <c r="B41" s="26"/>
      <c r="C41" s="26"/>
      <c r="D41" s="22"/>
      <c r="E41" s="19"/>
    </row>
    <row r="42" spans="1:5" x14ac:dyDescent="0.25">
      <c r="A42" s="15"/>
      <c r="B42" s="26"/>
      <c r="C42" s="26"/>
      <c r="D42" s="22"/>
      <c r="E42" s="19"/>
    </row>
    <row r="43" spans="1:5" x14ac:dyDescent="0.25">
      <c r="A43" s="15"/>
      <c r="B43" s="26"/>
      <c r="C43" s="26"/>
      <c r="D43" s="22"/>
      <c r="E43" s="19"/>
    </row>
    <row r="44" spans="1:5" x14ac:dyDescent="0.25">
      <c r="A44" s="15"/>
      <c r="B44" s="26"/>
      <c r="C44" s="26"/>
      <c r="D44" s="22"/>
      <c r="E44" s="19"/>
    </row>
    <row r="45" spans="1:5" x14ac:dyDescent="0.25">
      <c r="A45" s="15"/>
      <c r="B45" s="26"/>
      <c r="C45" s="26"/>
      <c r="D45" s="22"/>
      <c r="E45" s="19"/>
    </row>
    <row r="46" spans="1:5" x14ac:dyDescent="0.25">
      <c r="A46" s="15"/>
      <c r="B46" s="26"/>
      <c r="C46" s="26"/>
      <c r="D46" s="22"/>
      <c r="E46" s="19"/>
    </row>
  </sheetData>
  <mergeCells count="11">
    <mergeCell ref="B42:C42"/>
    <mergeCell ref="B43:C43"/>
    <mergeCell ref="B44:C44"/>
    <mergeCell ref="B45:C45"/>
    <mergeCell ref="B46:C46"/>
    <mergeCell ref="B41:C41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G43" sqref="G43"/>
    </sheetView>
  </sheetViews>
  <sheetFormatPr defaultRowHeight="15" x14ac:dyDescent="0.25"/>
  <sheetData>
    <row r="1" spans="1:4" x14ac:dyDescent="0.25">
      <c r="A1" s="28" t="s">
        <v>0</v>
      </c>
      <c r="B1" s="28" t="s">
        <v>1</v>
      </c>
      <c r="C1" s="29" t="s">
        <v>2</v>
      </c>
      <c r="D1" s="29" t="s">
        <v>3</v>
      </c>
    </row>
    <row r="2" spans="1:4" x14ac:dyDescent="0.25">
      <c r="A2" s="2" t="s">
        <v>4</v>
      </c>
      <c r="B2" s="2">
        <v>13.2</v>
      </c>
      <c r="C2" s="6">
        <v>0.27777777777777701</v>
      </c>
      <c r="D2" s="5">
        <f>B2*C2/100</f>
        <v>3.6666666666666563E-2</v>
      </c>
    </row>
    <row r="3" spans="1:4" x14ac:dyDescent="0.25">
      <c r="A3" s="2" t="s">
        <v>6</v>
      </c>
      <c r="B3" s="2">
        <v>5.9</v>
      </c>
      <c r="C3" s="6">
        <v>-9.9567099567099504</v>
      </c>
      <c r="D3" s="5">
        <f>B3*C3/100</f>
        <v>-0.5874458874458871</v>
      </c>
    </row>
    <row r="4" spans="1:4" x14ac:dyDescent="0.25">
      <c r="A4" s="2" t="s">
        <v>12</v>
      </c>
      <c r="B4" s="2">
        <v>11.48</v>
      </c>
      <c r="C4" s="6">
        <v>0.92514718250630701</v>
      </c>
      <c r="D4" s="5">
        <f t="shared" ref="D4:D21" si="0">B4*C4/100</f>
        <v>0.10620689655172405</v>
      </c>
    </row>
    <row r="5" spans="1:4" x14ac:dyDescent="0.25">
      <c r="A5" s="2" t="s">
        <v>10</v>
      </c>
      <c r="B5" s="2">
        <v>10.33</v>
      </c>
      <c r="C5" s="6">
        <v>7.1428571428571397</v>
      </c>
      <c r="D5" s="5">
        <f t="shared" si="0"/>
        <v>0.73785714285714255</v>
      </c>
    </row>
    <row r="6" spans="1:4" x14ac:dyDescent="0.25">
      <c r="A6" s="2" t="s">
        <v>9</v>
      </c>
      <c r="B6" s="2">
        <v>9.9700000000000006</v>
      </c>
      <c r="C6" s="6">
        <v>1.89393939393939</v>
      </c>
      <c r="D6" s="5">
        <f t="shared" si="0"/>
        <v>0.18882575757575717</v>
      </c>
    </row>
    <row r="7" spans="1:4" x14ac:dyDescent="0.25">
      <c r="A7" s="2" t="s">
        <v>13</v>
      </c>
      <c r="B7" s="2">
        <v>7.94</v>
      </c>
      <c r="C7" s="6">
        <v>3.18949343339587</v>
      </c>
      <c r="D7" s="5">
        <f t="shared" si="0"/>
        <v>0.25324577861163211</v>
      </c>
    </row>
    <row r="8" spans="1:4" x14ac:dyDescent="0.25">
      <c r="A8" s="2" t="s">
        <v>7</v>
      </c>
      <c r="B8" s="2">
        <v>2.77</v>
      </c>
      <c r="C8" s="6">
        <v>6.7897165458141</v>
      </c>
      <c r="D8" s="5">
        <f t="shared" si="0"/>
        <v>0.18807514831905056</v>
      </c>
    </row>
    <row r="9" spans="1:4" x14ac:dyDescent="0.25">
      <c r="A9" s="2" t="s">
        <v>21</v>
      </c>
      <c r="B9" s="2">
        <v>2.13</v>
      </c>
      <c r="C9" s="6">
        <v>-8.5054080629301794</v>
      </c>
      <c r="D9" s="5">
        <f t="shared" si="0"/>
        <v>-0.18116519174041279</v>
      </c>
    </row>
    <row r="10" spans="1:4" x14ac:dyDescent="0.25">
      <c r="A10" s="2" t="s">
        <v>17</v>
      </c>
      <c r="B10" s="2">
        <v>1.27</v>
      </c>
      <c r="C10" s="6">
        <v>4.4071353620146896</v>
      </c>
      <c r="D10" s="5">
        <f t="shared" si="0"/>
        <v>5.5970619097586563E-2</v>
      </c>
    </row>
    <row r="11" spans="1:4" x14ac:dyDescent="0.25">
      <c r="A11" s="2" t="s">
        <v>5</v>
      </c>
      <c r="B11" s="2">
        <v>1.85</v>
      </c>
      <c r="C11" s="6">
        <v>3.1914893617021201</v>
      </c>
      <c r="D11" s="5">
        <f t="shared" si="0"/>
        <v>5.9042553191489225E-2</v>
      </c>
    </row>
    <row r="12" spans="1:4" x14ac:dyDescent="0.25">
      <c r="A12" s="2" t="s">
        <v>11</v>
      </c>
      <c r="B12" s="2">
        <v>1.32</v>
      </c>
      <c r="C12" s="6">
        <v>0.177619893428063</v>
      </c>
      <c r="D12" s="5">
        <f t="shared" si="0"/>
        <v>2.3445825932504314E-3</v>
      </c>
    </row>
    <row r="13" spans="1:4" x14ac:dyDescent="0.25">
      <c r="A13" s="2" t="s">
        <v>8</v>
      </c>
      <c r="B13" s="2">
        <v>0.74</v>
      </c>
      <c r="C13" s="6">
        <v>0.66852367688022196</v>
      </c>
      <c r="D13" s="5">
        <f t="shared" si="0"/>
        <v>4.9470752089136429E-3</v>
      </c>
    </row>
    <row r="14" spans="1:4" x14ac:dyDescent="0.25">
      <c r="A14" s="2" t="s">
        <v>67</v>
      </c>
      <c r="B14" s="2">
        <v>0.18</v>
      </c>
      <c r="C14" s="6">
        <v>1.1376564277588099</v>
      </c>
      <c r="D14" s="5">
        <f t="shared" si="0"/>
        <v>2.0477815699658578E-3</v>
      </c>
    </row>
    <row r="15" spans="1:4" x14ac:dyDescent="0.25">
      <c r="A15" s="2" t="s">
        <v>103</v>
      </c>
      <c r="B15" s="2">
        <v>0.04</v>
      </c>
      <c r="C15" s="6">
        <v>-0.95751047277079604</v>
      </c>
      <c r="D15" s="5">
        <f t="shared" si="0"/>
        <v>-3.8300418910831841E-4</v>
      </c>
    </row>
    <row r="16" spans="1:4" x14ac:dyDescent="0.25">
      <c r="A16" s="2" t="s">
        <v>14</v>
      </c>
      <c r="B16" s="2">
        <v>0.04</v>
      </c>
      <c r="C16" s="6">
        <v>-9.9216710182767596</v>
      </c>
      <c r="D16" s="5">
        <f t="shared" si="0"/>
        <v>-3.9686684073107041E-3</v>
      </c>
    </row>
    <row r="17" spans="1:4" x14ac:dyDescent="0.25">
      <c r="A17" s="2" t="s">
        <v>51</v>
      </c>
      <c r="B17" s="2">
        <v>0.33</v>
      </c>
      <c r="C17" s="6">
        <v>3.3632286995515601</v>
      </c>
      <c r="D17" s="5">
        <f t="shared" si="0"/>
        <v>1.1098654708520148E-2</v>
      </c>
    </row>
    <row r="18" spans="1:4" x14ac:dyDescent="0.25">
      <c r="A18" s="2" t="s">
        <v>30</v>
      </c>
      <c r="B18" s="2">
        <v>0.12</v>
      </c>
      <c r="C18" s="6">
        <v>0.67650676506764995</v>
      </c>
      <c r="D18" s="5">
        <f t="shared" si="0"/>
        <v>8.1180811808117994E-4</v>
      </c>
    </row>
    <row r="19" spans="1:4" x14ac:dyDescent="0.25">
      <c r="A19" s="2" t="s">
        <v>87</v>
      </c>
      <c r="B19" s="2">
        <v>0.18</v>
      </c>
      <c r="C19" s="6">
        <v>1.1456628477905</v>
      </c>
      <c r="D19" s="5">
        <f t="shared" si="0"/>
        <v>2.0621931260228999E-3</v>
      </c>
    </row>
    <row r="20" spans="1:4" x14ac:dyDescent="0.25">
      <c r="A20" s="2" t="s">
        <v>36</v>
      </c>
      <c r="B20" s="2">
        <v>0.24</v>
      </c>
      <c r="C20" s="6">
        <v>1.6286644951139999</v>
      </c>
      <c r="D20" s="5">
        <f t="shared" si="0"/>
        <v>3.9087947882735993E-3</v>
      </c>
    </row>
    <row r="21" spans="1:4" x14ac:dyDescent="0.25">
      <c r="A21" s="2" t="s">
        <v>16</v>
      </c>
      <c r="B21" s="2">
        <v>0.05</v>
      </c>
      <c r="C21" s="6">
        <v>2.2458628841607502</v>
      </c>
      <c r="D21" s="5">
        <f t="shared" si="0"/>
        <v>1.1229314420803751E-3</v>
      </c>
    </row>
    <row r="22" spans="1:4" x14ac:dyDescent="0.25">
      <c r="A22" s="34" t="s">
        <v>24</v>
      </c>
      <c r="B22" s="31">
        <f>SUM(B2:B21)</f>
        <v>70.080000000000013</v>
      </c>
      <c r="C22" s="30"/>
      <c r="D22" s="31">
        <f>SUM(D2:D21)</f>
        <v>0.881271632643438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hf vbn</cp:lastModifiedBy>
  <dcterms:modified xsi:type="dcterms:W3CDTF">2026-08-26T15:23:06Z</dcterms:modified>
</cp:coreProperties>
</file>