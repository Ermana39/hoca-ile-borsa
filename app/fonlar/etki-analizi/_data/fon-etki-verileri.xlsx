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05BB8CE2-FB2A-476A-B28E-8E848C13E2A9}" xr6:coauthVersionLast="47" xr6:coauthVersionMax="47" xr10:uidLastSave="{00000000-0000-0000-0000-000000000000}"/>
  <bookViews>
    <workbookView xWindow="-23730" yWindow="105" windowWidth="12435" windowHeight="20475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6" i="8"/>
  <c r="D16" i="1"/>
  <c r="B17" i="1"/>
  <c r="D26" i="8" l="1"/>
  <c r="D17" i="1"/>
  <c r="D35" i="7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51" i="7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<sst xmlns="http://schemas.openxmlformats.org/spreadsheetml/2006/main" count="199" uniqueCount="99">
  <si>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</si>
  <si>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</si>
  <si>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</si>
  <si>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</si>
  <si>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</si>
  <si>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</si>
  <si>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</si>
  <si>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</si>
  <si>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</si>
  <si>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</si>
  <si>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</si>
  <si>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</si>
  <si>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</si>
  <si>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</si>
  <si>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</si>
  <si>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</si>
  <si>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</si>
  <si>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</si>
  <si>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</si>
  <si>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</si>
  <si>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</si>
  <si>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</si>
  <si>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</si>
  <si>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</si>
  <si>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</si>
  <si>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</si>
  <si>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</si>
  <si>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</si>
  <si>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</si>
  <si>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</si>
  <si>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</si>
  <si>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</si>
  <si>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</si>
  <si>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</si>
  <si>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</si>
  <si>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</si>
  <si>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</si>
  <si>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</si>
  <si>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</si>
  <si>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</si>
  <si>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</si>
  <si>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</si>
  <si>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</si>
  <si>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</si>
  <si>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</si>
  <si>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</si>
  <si>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</si>
  <si>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</si>
  <si>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</si>
  <si>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</si>
  <si>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</si>
  <si>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</si>
  <si>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</si>
  <si>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</si>
  <si>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</si>
  <si>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</si>
  <si>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</si>
  <si>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</si>
  <si>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</si>
  <si>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</si>
  <si>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</si>
  <si>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</si>
  <si>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</si>
  <si>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</si>
  <si>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</si>
  <si>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</si>
  <si>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</si>
  <si>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</si>
  <si>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</si>
  <si>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</si>
  <si>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</si>
  <si>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</si>
  <si>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</si>
  <si>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</si>
  <si>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</si>
  <si>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</si>
  <si>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</si>
  <si>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</si>
  <si>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</si>
  <si>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</si>
  <si>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</si>
  <si>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</si>
  <si>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</si>
  <si>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</si>
  <si>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</si>
  <si>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</si>
  <si>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</si>
  <si>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</si>
  <si>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</si>
  <si>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</si>
  <si>
    <t>İSVEA</t>
  </si>
  <si>
    <t>AKRCL</t>
  </si>
  <si>
    <t>ORZAX</t>
  </si>
  <si>
    <t>NETCD</t>
  </si>
  <si>
    <t>BARMA</t>
  </si>
  <si>
    <t>MCARD</t>
  </si>
  <si>
    <t>GLRMK</t>
  </si>
  <si>
    <t>EGEGY</t>
  </si>
  <si>
    <t>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</si>
</sst>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F44" sqref="A31:F44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0</v>
      </c>
      <c r="D2" s="7">
        <f>B2*C2/100</f>
        <v>0</v>
      </c>
    </row>
    <row r="3" spans="1:4" x14ac:dyDescent="0.25">
      <c r="A3" s="4" t="s">
        <v>1</v>
      </c>
      <c r="B3" s="4">
        <v>14.3</v>
      </c>
      <c r="C3" s="3">
        <v>0</v>
      </c>
      <c r="D3" s="7">
        <f>B3*C3/100</f>
        <v>0</v>
      </c>
    </row>
    <row r="4" spans="1:4" x14ac:dyDescent="0.25">
      <c r="A4" s="4" t="s">
        <v>3</v>
      </c>
      <c r="B4" s="4">
        <v>8.14</v>
      </c>
      <c r="C4" s="3">
        <v>0</v>
      </c>
      <c r="D4" s="7">
        <f t="shared" ref="D4:D16" si="0">B4*C4/100</f>
        <v>0</v>
      </c>
    </row>
    <row r="5" spans="1:4" x14ac:dyDescent="0.25">
      <c r="A5" s="4" t="s">
        <v>5</v>
      </c>
      <c r="B5" s="4">
        <v>7.14</v>
      </c>
      <c r="C5" s="3">
        <v>1.19760479041916</v>
      </c>
      <c r="D5" s="7">
        <f t="shared" si="0"/>
        <v>8.5508982035928008E-2</v>
      </c>
    </row>
    <row r="6" spans="1:4" x14ac:dyDescent="0.25">
      <c r="A6" s="4" t="s">
        <v>2</v>
      </c>
      <c r="B6" s="4">
        <v>6.63</v>
      </c>
      <c r="C6" s="3">
        <v>-4.3076923076923004</v>
      </c>
      <c r="D6" s="7">
        <f t="shared" si="0"/>
        <v>-0.28559999999999952</v>
      </c>
    </row>
    <row r="7" spans="1:4" x14ac:dyDescent="0.25">
      <c r="A7" s="4" t="s">
        <v>4</v>
      </c>
      <c r="B7" s="4">
        <v>5.61</v>
      </c>
      <c r="C7" s="3">
        <v>0.51020408163265296</v>
      </c>
      <c r="D7" s="7">
        <f t="shared" si="0"/>
        <v>2.8622448979591833E-2</v>
      </c>
    </row>
    <row r="8" spans="1:4" x14ac:dyDescent="0.25">
      <c r="A8" s="4" t="s">
        <v>6</v>
      </c>
      <c r="B8" s="4">
        <v>1.99</v>
      </c>
      <c r="C8" s="3">
        <v>3.12249799839871</v>
      </c>
      <c r="D8" s="7">
        <f t="shared" si="0"/>
        <v>6.2137710168134325E-2</v>
      </c>
    </row>
    <row r="9" spans="1:4" x14ac:dyDescent="0.25">
      <c r="A9" s="4" t="s">
        <v>49</v>
      </c>
      <c r="B9" s="4">
        <v>1.04</v>
      </c>
      <c r="C9" s="3">
        <v>6.95936478281177</v>
      </c>
      <c r="D9" s="7">
        <f t="shared" si="0"/>
        <v>7.2377393741242413E-2</v>
      </c>
    </row>
    <row r="10" spans="1:4" x14ac:dyDescent="0.25">
      <c r="A10" s="4" t="s">
        <v>7</v>
      </c>
      <c r="B10" s="4">
        <v>0.54</v>
      </c>
      <c r="C10" s="3">
        <v>-0.70921985815602795</v>
      </c>
      <c r="D10" s="7">
        <f t="shared" si="0"/>
        <v>-3.8297872340425508E-3</v>
      </c>
    </row>
    <row r="11" spans="1:4" x14ac:dyDescent="0.25">
      <c r="A11" s="4" t="s">
        <v>8</v>
      </c>
      <c r="B11" s="4">
        <v>0.52</v>
      </c>
      <c r="C11" s="3">
        <v>3.1333333333333302</v>
      </c>
      <c r="D11" s="7">
        <f t="shared" si="0"/>
        <v>1.6293333333333316E-2</v>
      </c>
    </row>
    <row r="12" spans="1:4" x14ac:dyDescent="0.25">
      <c r="A12" s="4" t="s">
        <v>90</v>
      </c>
      <c r="B12" s="4">
        <v>0.28000000000000003</v>
      </c>
      <c r="C12" s="3">
        <v>10</v>
      </c>
      <c r="D12" s="7">
        <f t="shared" si="0"/>
        <v>2.8000000000000004E-2</v>
      </c>
    </row>
    <row r="13" spans="1:4" x14ac:dyDescent="0.25">
      <c r="A13" s="4" t="s">
        <v>9</v>
      </c>
      <c r="B13" s="4">
        <v>0.27</v>
      </c>
      <c r="C13" s="3">
        <v>-9.9750623441396495</v>
      </c>
      <c r="D13" s="7">
        <f t="shared" si="0"/>
        <v>-2.6932668329177054E-2</v>
      </c>
    </row>
    <row r="14" spans="1:4" x14ac:dyDescent="0.25">
      <c r="A14" s="4" t="s">
        <v>50</v>
      </c>
      <c r="B14" s="4">
        <v>0.14000000000000001</v>
      </c>
      <c r="C14" s="3">
        <v>1.3063357282821599</v>
      </c>
      <c r="D14" s="7">
        <f t="shared" si="0"/>
        <v>1.8288700195950242E-3</v>
      </c>
    </row>
    <row r="15" spans="1:4" x14ac:dyDescent="0.25">
      <c r="A15" s="4" t="s">
        <v>27</v>
      </c>
      <c r="B15" s="4">
        <v>7.0000000000000007E-2</v>
      </c>
      <c r="C15" s="3">
        <v>-0.70588235294117596</v>
      </c>
      <c r="D15" s="7">
        <f t="shared" si="0"/>
        <v>-4.9411764705882327E-4</v>
      </c>
    </row>
    <row r="16" spans="1:4" x14ac:dyDescent="0.25">
      <c r="A16" s="4" t="s">
        <v>51</v>
      </c>
      <c r="B16" s="4">
        <v>1.27</v>
      </c>
      <c r="C16" s="3">
        <v>-1.1599999999999999</v>
      </c>
      <c r="D16" s="7">
        <f t="shared" si="0"/>
        <v>-1.4731999999999999E-2</v>
      </c>
    </row>
    <row r="17" spans="1:6" x14ac:dyDescent="0.25">
      <c r="A17" s="16" t="s">
        <v>61</v>
      </c>
      <c r="B17" s="5">
        <f>B2+B3+B4+B5+B6+B7+B8+B9+B10+B11+B12+B13+B14+B15+B16</f>
        <v>70.790000000000006</v>
      </c>
      <c r="C17" s="5"/>
      <c r="D17" s="6">
        <f>D2+D3+D4+D5+D6+D7+D8+D9+D10+D11+D12+D13+D14+D15+D16</f>
        <v>-3.6819834932453055E-2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/>
      <c r="B31" s="30"/>
      <c r="C31" s="30"/>
      <c r="D31" s="20"/>
      <c r="E31" s="5"/>
      <c r="F31" s="5"/>
    </row>
    <row r="32" spans="1:6" x14ac:dyDescent="0.25">
      <c r="A32" s="18"/>
      <c r="B32" s="29"/>
      <c r="C32" s="29"/>
      <c r="D32" s="25"/>
      <c r="E32" s="21"/>
      <c r="F32" s="24"/>
    </row>
    <row r="33" spans="1:6" x14ac:dyDescent="0.25">
      <c r="A33" s="18"/>
      <c r="B33" s="29"/>
      <c r="C33" s="29"/>
      <c r="D33" s="25"/>
      <c r="E33" s="22"/>
      <c r="F33" s="24"/>
    </row>
    <row r="34" spans="1:6" x14ac:dyDescent="0.25">
      <c r="A34" s="18"/>
      <c r="B34" s="29"/>
      <c r="C34" s="29"/>
      <c r="D34" s="25"/>
      <c r="E34" s="22"/>
      <c r="F34" s="24"/>
    </row>
    <row r="35" spans="1:6" x14ac:dyDescent="0.25">
      <c r="A35" s="18"/>
      <c r="B35" s="29"/>
      <c r="C35" s="29"/>
      <c r="D35" s="25"/>
      <c r="E35" s="22"/>
      <c r="F35" s="24"/>
    </row>
    <row r="36" spans="1:6" x14ac:dyDescent="0.25">
      <c r="A36" s="18"/>
      <c r="B36" s="29"/>
      <c r="C36" s="29"/>
      <c r="D36" s="25"/>
      <c r="E36" s="22"/>
      <c r="F36" s="24"/>
    </row>
    <row r="37" spans="1:6" x14ac:dyDescent="0.25">
      <c r="A37" s="18"/>
      <c r="B37" s="29"/>
      <c r="C37" s="29"/>
      <c r="D37" s="25"/>
      <c r="E37" s="22"/>
      <c r="F37" s="24"/>
    </row>
    <row r="38" spans="1:6" x14ac:dyDescent="0.25">
      <c r="A38" s="18"/>
      <c r="B38" s="29"/>
      <c r="C38" s="29"/>
      <c r="D38" s="25"/>
      <c r="E38" s="22"/>
      <c r="F38" s="24"/>
    </row>
    <row r="39" spans="1:6" x14ac:dyDescent="0.25">
      <c r="A39" s="18"/>
      <c r="B39" s="29"/>
      <c r="C39" s="29"/>
      <c r="D39" s="25"/>
      <c r="E39" s="22"/>
      <c r="F39" s="24"/>
    </row>
    <row r="40" spans="1:6" x14ac:dyDescent="0.25">
      <c r="A40" s="18"/>
      <c r="B40" s="29"/>
      <c r="C40" s="29"/>
      <c r="D40" s="25"/>
      <c r="E40" s="22"/>
      <c r="F40" s="24"/>
    </row>
    <row r="41" spans="1:6" x14ac:dyDescent="0.25">
      <c r="A41" s="18"/>
      <c r="B41" s="29"/>
      <c r="C41" s="29"/>
      <c r="D41" s="25"/>
      <c r="E41" s="22"/>
      <c r="F41" s="24"/>
    </row>
    <row r="42" spans="1:6" x14ac:dyDescent="0.25">
      <c r="A42" s="18"/>
      <c r="B42" s="29"/>
      <c r="C42" s="29"/>
      <c r="D42" s="25"/>
      <c r="E42" s="22"/>
      <c r="F42" s="24"/>
    </row>
    <row r="43" spans="1:6" x14ac:dyDescent="0.25">
      <c r="A43" s="18"/>
      <c r="B43" s="29"/>
      <c r="C43" s="29"/>
      <c r="D43" s="25"/>
      <c r="E43" s="22"/>
      <c r="F43" s="24"/>
    </row>
    <row r="44" spans="1:6" x14ac:dyDescent="0.25">
      <c r="A44" s="18"/>
      <c r="B44" s="29"/>
      <c r="C44" s="29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7" workbookViewId="0">
      <selection activeCell="C2" sqref="C2:C43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52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9.97752808988764</v>
      </c>
      <c r="D2" s="4">
        <f>B2*C2/100</f>
        <v>0.88999550561797747</v>
      </c>
    </row>
    <row r="3" spans="1:4" x14ac:dyDescent="0.25">
      <c r="A3" s="4" t="s">
        <v>14</v>
      </c>
      <c r="B3" s="4">
        <v>8.81</v>
      </c>
      <c r="C3" s="14">
        <v>4.7619047619047601</v>
      </c>
      <c r="D3" s="4">
        <f t="shared" ref="D3:D43" si="0">B3*C3/100</f>
        <v>0.41952380952380941</v>
      </c>
    </row>
    <row r="4" spans="1:4" x14ac:dyDescent="0.25">
      <c r="A4" s="4" t="s">
        <v>12</v>
      </c>
      <c r="B4" s="4">
        <v>8.2799999999999994</v>
      </c>
      <c r="C4" s="14">
        <v>3.5874439461883401</v>
      </c>
      <c r="D4" s="4">
        <f t="shared" si="0"/>
        <v>0.29704035874439449</v>
      </c>
    </row>
    <row r="5" spans="1:4" x14ac:dyDescent="0.25">
      <c r="A5" s="4" t="s">
        <v>15</v>
      </c>
      <c r="B5" s="4">
        <v>6.17</v>
      </c>
      <c r="C5" s="14">
        <v>-10</v>
      </c>
      <c r="D5" s="4">
        <f t="shared" si="0"/>
        <v>-0.61699999999999999</v>
      </c>
    </row>
    <row r="6" spans="1:4" x14ac:dyDescent="0.25">
      <c r="A6" s="4" t="s">
        <v>9</v>
      </c>
      <c r="B6" s="4">
        <v>4.75</v>
      </c>
      <c r="C6" s="14">
        <v>-9.9750623441396495</v>
      </c>
      <c r="D6" s="4">
        <f t="shared" si="0"/>
        <v>-0.47381546134663338</v>
      </c>
    </row>
    <row r="7" spans="1:4" x14ac:dyDescent="0.25">
      <c r="A7" s="4" t="s">
        <v>16</v>
      </c>
      <c r="B7" s="4">
        <v>4.42</v>
      </c>
      <c r="C7" s="14">
        <v>-0.66006600660065995</v>
      </c>
      <c r="D7" s="4">
        <f t="shared" si="0"/>
        <v>-2.9174917491749167E-2</v>
      </c>
    </row>
    <row r="8" spans="1:4" x14ac:dyDescent="0.25">
      <c r="A8" s="4" t="s">
        <v>19</v>
      </c>
      <c r="B8" s="4">
        <v>3.77</v>
      </c>
      <c r="C8" s="14">
        <v>-0.97305389221556804</v>
      </c>
      <c r="D8" s="4">
        <f t="shared" si="0"/>
        <v>-3.6684131736526918E-2</v>
      </c>
    </row>
    <row r="9" spans="1:4" x14ac:dyDescent="0.25">
      <c r="A9" s="4" t="s">
        <v>18</v>
      </c>
      <c r="B9" s="4">
        <v>3.6</v>
      </c>
      <c r="C9" s="14">
        <v>-9.0604651162790599</v>
      </c>
      <c r="D9" s="4">
        <f t="shared" si="0"/>
        <v>-0.32617674418604614</v>
      </c>
    </row>
    <row r="10" spans="1:4" x14ac:dyDescent="0.25">
      <c r="A10" s="4" t="s">
        <v>20</v>
      </c>
      <c r="B10" s="4">
        <v>3.37</v>
      </c>
      <c r="C10" s="14">
        <v>0.17647058823529399</v>
      </c>
      <c r="D10" s="4">
        <f t="shared" si="0"/>
        <v>5.9470588235294077E-3</v>
      </c>
    </row>
    <row r="11" spans="1:4" x14ac:dyDescent="0.25">
      <c r="A11" s="4" t="s">
        <v>53</v>
      </c>
      <c r="B11" s="4">
        <v>2.68</v>
      </c>
      <c r="C11" s="14">
        <v>-4.2016806722688997</v>
      </c>
      <c r="D11" s="4">
        <f t="shared" si="0"/>
        <v>-0.11260504201680652</v>
      </c>
    </row>
    <row r="12" spans="1:4" x14ac:dyDescent="0.25">
      <c r="A12" s="4" t="s">
        <v>0</v>
      </c>
      <c r="B12" s="4">
        <v>2.58</v>
      </c>
      <c r="C12" s="14">
        <v>0.39750141964792701</v>
      </c>
      <c r="D12" s="4">
        <f t="shared" si="0"/>
        <v>1.0255536626916518E-2</v>
      </c>
    </row>
    <row r="13" spans="1:4" x14ac:dyDescent="0.25">
      <c r="A13" s="4" t="s">
        <v>25</v>
      </c>
      <c r="B13" s="4">
        <v>2.4500000000000002</v>
      </c>
      <c r="C13" s="14">
        <v>-0.74318744838976003</v>
      </c>
      <c r="D13" s="4">
        <f t="shared" si="0"/>
        <v>-1.820809248554912E-2</v>
      </c>
    </row>
    <row r="14" spans="1:4" x14ac:dyDescent="0.25">
      <c r="A14" s="4" t="s">
        <v>6</v>
      </c>
      <c r="B14" s="4">
        <v>2.0499999999999998</v>
      </c>
      <c r="C14" s="14">
        <v>3.12249799839871</v>
      </c>
      <c r="D14" s="4">
        <f t="shared" si="0"/>
        <v>6.401120896717355E-2</v>
      </c>
    </row>
    <row r="15" spans="1:4" x14ac:dyDescent="0.25">
      <c r="A15" s="4" t="s">
        <v>17</v>
      </c>
      <c r="B15" s="4">
        <v>1.73</v>
      </c>
      <c r="C15" s="14">
        <v>-3.97849462365591</v>
      </c>
      <c r="D15" s="4">
        <f t="shared" si="0"/>
        <v>-6.8827956989247235E-2</v>
      </c>
    </row>
    <row r="16" spans="1:4" x14ac:dyDescent="0.25">
      <c r="A16" s="4" t="s">
        <v>22</v>
      </c>
      <c r="B16" s="4">
        <v>1.64</v>
      </c>
      <c r="C16" s="14">
        <v>-4.2553191489361701</v>
      </c>
      <c r="D16" s="4">
        <f t="shared" si="0"/>
        <v>-6.9787234042553187E-2</v>
      </c>
    </row>
    <row r="17" spans="1:4" x14ac:dyDescent="0.25">
      <c r="A17" s="4" t="s">
        <v>23</v>
      </c>
      <c r="B17" s="4">
        <v>1.62</v>
      </c>
      <c r="C17" s="14">
        <v>-1.0169491525423699</v>
      </c>
      <c r="D17" s="4">
        <f t="shared" si="0"/>
        <v>-1.6474576271186394E-2</v>
      </c>
    </row>
    <row r="18" spans="1:4" x14ac:dyDescent="0.25">
      <c r="A18" s="4" t="s">
        <v>26</v>
      </c>
      <c r="B18" s="4">
        <v>1.48</v>
      </c>
      <c r="C18" s="14">
        <v>-1.8217306441119001</v>
      </c>
      <c r="D18" s="4">
        <f t="shared" si="0"/>
        <v>-2.6961613532856123E-2</v>
      </c>
    </row>
    <row r="19" spans="1:4" x14ac:dyDescent="0.25">
      <c r="A19" s="4" t="s">
        <v>21</v>
      </c>
      <c r="B19" s="4">
        <v>1.4</v>
      </c>
      <c r="C19" s="14">
        <v>-2.0892687559354202</v>
      </c>
      <c r="D19" s="4">
        <f t="shared" si="0"/>
        <v>-2.9249762583095879E-2</v>
      </c>
    </row>
    <row r="20" spans="1:4" x14ac:dyDescent="0.25">
      <c r="A20" s="4" t="s">
        <v>24</v>
      </c>
      <c r="B20" s="4">
        <v>1.3</v>
      </c>
      <c r="C20" s="14">
        <v>-1.9617459538989701</v>
      </c>
      <c r="D20" s="4">
        <f t="shared" si="0"/>
        <v>-2.550269740068661E-2</v>
      </c>
    </row>
    <row r="21" spans="1:4" x14ac:dyDescent="0.25">
      <c r="A21" s="4" t="s">
        <v>28</v>
      </c>
      <c r="B21" s="4">
        <v>1.26</v>
      </c>
      <c r="C21" s="14">
        <v>-0.98214285714285698</v>
      </c>
      <c r="D21" s="4">
        <f t="shared" si="0"/>
        <v>-1.2374999999999999E-2</v>
      </c>
    </row>
    <row r="22" spans="1:4" x14ac:dyDescent="0.25">
      <c r="A22" s="4" t="s">
        <v>29</v>
      </c>
      <c r="B22" s="4">
        <v>1.2</v>
      </c>
      <c r="C22" s="14">
        <v>-7.89889415481832E-2</v>
      </c>
      <c r="D22" s="4">
        <f t="shared" si="0"/>
        <v>-9.4786729857819843E-4</v>
      </c>
    </row>
    <row r="23" spans="1:4" x14ac:dyDescent="0.25">
      <c r="A23" s="4" t="s">
        <v>3</v>
      </c>
      <c r="B23" s="4">
        <v>0.73</v>
      </c>
      <c r="C23" s="14">
        <v>0</v>
      </c>
      <c r="D23" s="4">
        <f t="shared" si="0"/>
        <v>0</v>
      </c>
    </row>
    <row r="24" spans="1:4" x14ac:dyDescent="0.25">
      <c r="A24" s="4" t="s">
        <v>33</v>
      </c>
      <c r="B24" s="4">
        <v>0.71</v>
      </c>
      <c r="C24" s="14">
        <v>-1.0575016523463301</v>
      </c>
      <c r="D24" s="4">
        <f t="shared" si="0"/>
        <v>-7.5082617316589431E-3</v>
      </c>
    </row>
    <row r="25" spans="1:4" x14ac:dyDescent="0.25">
      <c r="A25" s="4" t="s">
        <v>7</v>
      </c>
      <c r="B25" s="4">
        <v>0.59</v>
      </c>
      <c r="C25" s="8">
        <v>-0.70921985815602795</v>
      </c>
      <c r="D25" s="4">
        <f t="shared" si="0"/>
        <v>-4.1843971631205642E-3</v>
      </c>
    </row>
    <row r="26" spans="1:4" x14ac:dyDescent="0.25">
      <c r="A26" s="4" t="s">
        <v>27</v>
      </c>
      <c r="B26" s="4">
        <v>0.56000000000000005</v>
      </c>
      <c r="C26" s="8">
        <v>-0.70588235294117596</v>
      </c>
      <c r="D26" s="4">
        <f t="shared" si="0"/>
        <v>-3.9529411764705862E-3</v>
      </c>
    </row>
    <row r="27" spans="1:4" x14ac:dyDescent="0.25">
      <c r="A27" s="4" t="s">
        <v>39</v>
      </c>
      <c r="B27" s="4">
        <v>0.4</v>
      </c>
      <c r="C27" s="8">
        <v>0.47694753577106502</v>
      </c>
      <c r="D27" s="4">
        <f t="shared" si="0"/>
        <v>1.9077901430842603E-3</v>
      </c>
    </row>
    <row r="28" spans="1:4" x14ac:dyDescent="0.25">
      <c r="A28" s="4" t="s">
        <v>31</v>
      </c>
      <c r="B28" s="4">
        <v>0.39</v>
      </c>
      <c r="C28" s="8">
        <v>-4.2527339003645199</v>
      </c>
      <c r="D28" s="4">
        <f t="shared" si="0"/>
        <v>-1.6585662211421628E-2</v>
      </c>
    </row>
    <row r="29" spans="1:4" x14ac:dyDescent="0.25">
      <c r="A29" s="4" t="s">
        <v>30</v>
      </c>
      <c r="B29" s="4">
        <v>0.36</v>
      </c>
      <c r="C29" s="8">
        <v>-0.34802784222737798</v>
      </c>
      <c r="D29" s="4">
        <f t="shared" si="0"/>
        <v>-1.2529002320185605E-3</v>
      </c>
    </row>
    <row r="30" spans="1:4" x14ac:dyDescent="0.25">
      <c r="A30" s="4" t="s">
        <v>34</v>
      </c>
      <c r="B30" s="4">
        <v>0.34</v>
      </c>
      <c r="C30" s="8">
        <v>-3.8777032065622601</v>
      </c>
      <c r="D30" s="4">
        <f t="shared" si="0"/>
        <v>-1.3184190902311686E-2</v>
      </c>
    </row>
    <row r="31" spans="1:4" x14ac:dyDescent="0.25">
      <c r="A31" s="4" t="s">
        <v>55</v>
      </c>
      <c r="B31" s="4">
        <v>0.34</v>
      </c>
      <c r="C31" s="8">
        <v>0.35005834305717598</v>
      </c>
      <c r="D31" s="4">
        <f t="shared" si="0"/>
        <v>1.1901983663943983E-3</v>
      </c>
    </row>
    <row r="32" spans="1:4" x14ac:dyDescent="0.25">
      <c r="A32" s="4" t="s">
        <v>56</v>
      </c>
      <c r="B32" s="4">
        <v>0.33</v>
      </c>
      <c r="C32" s="8">
        <v>0.45745654162854499</v>
      </c>
      <c r="D32" s="4">
        <f t="shared" si="0"/>
        <v>1.5096065873741985E-3</v>
      </c>
    </row>
    <row r="33" spans="1:5" x14ac:dyDescent="0.25">
      <c r="A33" s="4" t="s">
        <v>2</v>
      </c>
      <c r="B33" s="11">
        <v>0.26</v>
      </c>
      <c r="C33" s="15">
        <v>-4.55293472298409</v>
      </c>
      <c r="D33" s="4">
        <f t="shared" si="0"/>
        <v>-1.1837630279758635E-2</v>
      </c>
    </row>
    <row r="34" spans="1:5" x14ac:dyDescent="0.25">
      <c r="A34" s="4" t="s">
        <v>32</v>
      </c>
      <c r="B34" s="4">
        <v>0.18</v>
      </c>
      <c r="C34" s="8">
        <v>-9.4240837696334996</v>
      </c>
      <c r="D34" s="4">
        <f t="shared" si="0"/>
        <v>-1.6963350785340298E-2</v>
      </c>
    </row>
    <row r="35" spans="1:5" x14ac:dyDescent="0.25">
      <c r="A35" s="4" t="s">
        <v>4</v>
      </c>
      <c r="B35" s="4">
        <v>0.12</v>
      </c>
      <c r="C35" s="8">
        <v>0.51020408163265296</v>
      </c>
      <c r="D35" s="4">
        <f t="shared" si="0"/>
        <v>6.1224489795918353E-4</v>
      </c>
    </row>
    <row r="36" spans="1:5" x14ac:dyDescent="0.25">
      <c r="A36" s="4" t="s">
        <v>57</v>
      </c>
      <c r="B36" s="4">
        <v>7.0000000000000007E-2</v>
      </c>
      <c r="C36" s="8">
        <v>-1.5162454873646201</v>
      </c>
      <c r="D36" s="4">
        <f t="shared" si="0"/>
        <v>-1.0613718411552342E-3</v>
      </c>
    </row>
    <row r="37" spans="1:5" x14ac:dyDescent="0.25">
      <c r="A37" s="4" t="s">
        <v>58</v>
      </c>
      <c r="B37" s="4">
        <v>0.05</v>
      </c>
      <c r="C37" s="8">
        <v>-5.4229934924078002E-2</v>
      </c>
      <c r="D37" s="4">
        <f t="shared" si="0"/>
        <v>-2.7114967462039E-5</v>
      </c>
    </row>
    <row r="38" spans="1:5" x14ac:dyDescent="0.25">
      <c r="A38" s="4" t="s">
        <v>59</v>
      </c>
      <c r="B38" s="4">
        <v>0.04</v>
      </c>
      <c r="C38" s="8">
        <v>-8.1938325991189398</v>
      </c>
      <c r="D38" s="4">
        <f t="shared" si="0"/>
        <v>-3.277533039647576E-3</v>
      </c>
    </row>
    <row r="39" spans="1:5" x14ac:dyDescent="0.25">
      <c r="A39" s="4" t="s">
        <v>60</v>
      </c>
      <c r="B39" s="4">
        <v>0.04</v>
      </c>
      <c r="C39" s="8">
        <v>-7.8024337866857501</v>
      </c>
      <c r="D39" s="4">
        <f t="shared" si="0"/>
        <v>-3.1209735146743001E-3</v>
      </c>
    </row>
    <row r="40" spans="1:5" x14ac:dyDescent="0.25">
      <c r="A40" s="4" t="s">
        <v>35</v>
      </c>
      <c r="B40" s="4">
        <v>0.3</v>
      </c>
      <c r="C40" s="8">
        <v>-4.3010752688171996</v>
      </c>
      <c r="D40" s="4">
        <f t="shared" si="0"/>
        <v>-1.2903225806451599E-2</v>
      </c>
    </row>
    <row r="41" spans="1:5" x14ac:dyDescent="0.25">
      <c r="A41" s="4" t="s">
        <v>41</v>
      </c>
      <c r="B41" s="4">
        <v>8.33</v>
      </c>
      <c r="C41" s="4">
        <v>2.1800000000000002</v>
      </c>
      <c r="D41" s="4">
        <f t="shared" si="0"/>
        <v>0.18159400000000001</v>
      </c>
    </row>
    <row r="42" spans="1:5" x14ac:dyDescent="0.25">
      <c r="A42" s="4" t="s">
        <v>42</v>
      </c>
      <c r="B42" s="4">
        <v>8.27</v>
      </c>
      <c r="C42" s="4">
        <v>2.09</v>
      </c>
      <c r="D42" s="4">
        <f t="shared" si="0"/>
        <v>0.17284299999999997</v>
      </c>
    </row>
    <row r="43" spans="1:5" x14ac:dyDescent="0.25">
      <c r="A43" s="4" t="s">
        <v>54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61</v>
      </c>
      <c r="B44" s="5">
        <f>SUM(B2:B43)</f>
        <v>98.450000000000045</v>
      </c>
      <c r="D44" s="6">
        <f>SUM(D2:D43)</f>
        <v>9.0107667265606289E-2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20"/>
      <c r="E55" s="5"/>
      <c r="F55" s="5"/>
    </row>
    <row r="56" spans="1:6" x14ac:dyDescent="0.25">
      <c r="A56" s="18"/>
      <c r="B56" s="29"/>
      <c r="C56" s="29"/>
      <c r="D56" s="21"/>
      <c r="E56" s="21"/>
      <c r="F56" s="24"/>
    </row>
    <row r="57" spans="1:6" x14ac:dyDescent="0.25">
      <c r="A57" s="18"/>
      <c r="B57" s="29"/>
      <c r="C57" s="29"/>
      <c r="D57" s="21"/>
      <c r="E57" s="21"/>
      <c r="F57" s="24"/>
    </row>
    <row r="58" spans="1:6" x14ac:dyDescent="0.25">
      <c r="A58" s="18"/>
      <c r="B58" s="29"/>
      <c r="C58" s="29"/>
      <c r="D58" s="21"/>
      <c r="E58" s="21"/>
      <c r="F58" s="24"/>
    </row>
    <row r="59" spans="1:6" x14ac:dyDescent="0.25">
      <c r="A59" s="18"/>
      <c r="B59" s="29"/>
      <c r="C59" s="29"/>
      <c r="D59" s="21"/>
      <c r="E59" s="21"/>
      <c r="F59" s="24"/>
    </row>
    <row r="60" spans="1:6" x14ac:dyDescent="0.25">
      <c r="A60" s="18"/>
      <c r="B60" s="29"/>
      <c r="C60" s="29"/>
      <c r="D60" s="21"/>
      <c r="E60" s="21"/>
      <c r="F60" s="24"/>
    </row>
    <row r="61" spans="1:6" x14ac:dyDescent="0.25">
      <c r="A61" s="18"/>
      <c r="B61" s="29"/>
      <c r="C61" s="29"/>
      <c r="D61" s="21"/>
      <c r="E61" s="21"/>
      <c r="F61" s="24"/>
    </row>
    <row r="62" spans="1:6" x14ac:dyDescent="0.25">
      <c r="A62" s="18"/>
      <c r="B62" s="29"/>
      <c r="C62" s="29"/>
      <c r="D62" s="21"/>
      <c r="E62" s="21"/>
      <c r="F62" s="24"/>
    </row>
    <row r="63" spans="1:6" x14ac:dyDescent="0.25">
      <c r="A63" s="18"/>
      <c r="B63" s="29"/>
      <c r="C63" s="29"/>
      <c r="D63" s="21"/>
      <c r="E63" s="21"/>
      <c r="F63" s="24"/>
    </row>
    <row r="64" spans="1:6" x14ac:dyDescent="0.25">
      <c r="A64" s="18"/>
      <c r="B64" s="29"/>
      <c r="C64" s="29"/>
      <c r="D64" s="21"/>
      <c r="E64" s="21"/>
      <c r="F64" s="24"/>
    </row>
    <row r="65" spans="1:6" x14ac:dyDescent="0.25">
      <c r="A65" s="18"/>
      <c r="B65" s="29"/>
      <c r="C65" s="29"/>
      <c r="D65" s="21"/>
      <c r="E65" s="21"/>
      <c r="F65" s="24"/>
    </row>
    <row r="66" spans="1:6" x14ac:dyDescent="0.25">
      <c r="A66" s="18"/>
      <c r="B66" s="29"/>
      <c r="C66" s="29"/>
      <c r="D66" s="21"/>
      <c r="E66" s="21"/>
      <c r="F66" s="24"/>
    </row>
    <row r="67" spans="1:6" x14ac:dyDescent="0.25">
      <c r="A67" s="18"/>
      <c r="B67" s="29"/>
      <c r="C67" s="29"/>
      <c r="D67" s="21"/>
      <c r="E67" s="21"/>
      <c r="F67" s="24"/>
    </row>
    <row r="68" spans="1:6" x14ac:dyDescent="0.25">
      <c r="A68" s="18"/>
      <c r="B68" s="29"/>
      <c r="C68" s="29"/>
      <c r="D68" s="21"/>
      <c r="E68" s="21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E18" sqref="E18:E19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52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4.7619047619047601</v>
      </c>
      <c r="D2" s="4">
        <f>B2*C2/100</f>
        <v>0.45952380952380933</v>
      </c>
    </row>
    <row r="3" spans="1:4" x14ac:dyDescent="0.25">
      <c r="A3" s="4" t="s">
        <v>13</v>
      </c>
      <c r="B3" s="4">
        <v>9.2899999999999991</v>
      </c>
      <c r="C3" s="8">
        <v>9.97752808988764</v>
      </c>
      <c r="D3" s="4">
        <f t="shared" ref="D3:D36" si="0">B3*C3/100</f>
        <v>0.92691235955056173</v>
      </c>
    </row>
    <row r="4" spans="1:4" x14ac:dyDescent="0.25">
      <c r="A4" s="4" t="s">
        <v>12</v>
      </c>
      <c r="B4" s="4">
        <v>9.24</v>
      </c>
      <c r="C4" s="8">
        <v>3.5874439461883401</v>
      </c>
      <c r="D4" s="4">
        <f t="shared" si="0"/>
        <v>0.33147982062780268</v>
      </c>
    </row>
    <row r="5" spans="1:4" x14ac:dyDescent="0.25">
      <c r="A5" s="4" t="s">
        <v>53</v>
      </c>
      <c r="B5" s="4">
        <v>6.09</v>
      </c>
      <c r="C5" s="8">
        <v>-4.2016806722688997</v>
      </c>
      <c r="D5" s="4">
        <f t="shared" si="0"/>
        <v>-0.25588235294117601</v>
      </c>
    </row>
    <row r="6" spans="1:4" x14ac:dyDescent="0.25">
      <c r="A6" s="4" t="s">
        <v>9</v>
      </c>
      <c r="B6" s="4">
        <v>4.7300000000000004</v>
      </c>
      <c r="C6" s="8">
        <v>-9.9750623441396495</v>
      </c>
      <c r="D6" s="4">
        <f t="shared" si="0"/>
        <v>-0.4718204488778055</v>
      </c>
    </row>
    <row r="7" spans="1:4" x14ac:dyDescent="0.25">
      <c r="A7" s="4" t="s">
        <v>15</v>
      </c>
      <c r="B7" s="4">
        <v>4.5199999999999996</v>
      </c>
      <c r="C7" s="8">
        <v>-10</v>
      </c>
      <c r="D7" s="4">
        <f t="shared" si="0"/>
        <v>-0.45199999999999996</v>
      </c>
    </row>
    <row r="8" spans="1:4" x14ac:dyDescent="0.25">
      <c r="A8" s="4" t="s">
        <v>18</v>
      </c>
      <c r="B8" s="4">
        <v>3.4</v>
      </c>
      <c r="C8" s="8">
        <v>-9.0604651162790599</v>
      </c>
      <c r="D8" s="4">
        <f t="shared" si="0"/>
        <v>-0.30805581395348802</v>
      </c>
    </row>
    <row r="9" spans="1:4" x14ac:dyDescent="0.25">
      <c r="A9" s="4" t="s">
        <v>16</v>
      </c>
      <c r="B9" s="4">
        <v>2.73</v>
      </c>
      <c r="C9" s="8">
        <v>-0.66006600660065995</v>
      </c>
      <c r="D9" s="4">
        <f t="shared" si="0"/>
        <v>-1.8019801980198015E-2</v>
      </c>
    </row>
    <row r="10" spans="1:4" x14ac:dyDescent="0.25">
      <c r="A10" s="4" t="s">
        <v>6</v>
      </c>
      <c r="B10" s="4">
        <v>2.2999999999999998</v>
      </c>
      <c r="C10" s="8">
        <v>3.12249799839871</v>
      </c>
      <c r="D10" s="4">
        <f t="shared" si="0"/>
        <v>7.1817453963170325E-2</v>
      </c>
    </row>
    <row r="11" spans="1:4" x14ac:dyDescent="0.25">
      <c r="A11" s="4" t="s">
        <v>21</v>
      </c>
      <c r="B11" s="4">
        <v>1.67</v>
      </c>
      <c r="C11" s="8">
        <v>-2.0892687559354202</v>
      </c>
      <c r="D11" s="4">
        <f t="shared" si="0"/>
        <v>-3.4890788224121512E-2</v>
      </c>
    </row>
    <row r="12" spans="1:4" x14ac:dyDescent="0.25">
      <c r="A12" s="4" t="s">
        <v>17</v>
      </c>
      <c r="B12" s="4">
        <v>1.58</v>
      </c>
      <c r="C12" s="8">
        <v>-3.97849462365591</v>
      </c>
      <c r="D12" s="4">
        <f t="shared" si="0"/>
        <v>-6.286021505376338E-2</v>
      </c>
    </row>
    <row r="13" spans="1:4" x14ac:dyDescent="0.25">
      <c r="A13" s="4" t="s">
        <v>0</v>
      </c>
      <c r="B13" s="4">
        <v>1.57</v>
      </c>
      <c r="C13" s="8">
        <v>0.39750141964792701</v>
      </c>
      <c r="D13" s="4">
        <f t="shared" si="0"/>
        <v>6.2407722884724546E-3</v>
      </c>
    </row>
    <row r="14" spans="1:4" x14ac:dyDescent="0.25">
      <c r="A14" s="4" t="s">
        <v>19</v>
      </c>
      <c r="B14" s="4">
        <v>1.1299999999999999</v>
      </c>
      <c r="C14" s="8">
        <v>-0.97305389221556804</v>
      </c>
      <c r="D14" s="4">
        <f t="shared" si="0"/>
        <v>-1.0995508982035917E-2</v>
      </c>
    </row>
    <row r="15" spans="1:4" x14ac:dyDescent="0.25">
      <c r="A15" s="4" t="s">
        <v>20</v>
      </c>
      <c r="B15" s="4">
        <v>1.03</v>
      </c>
      <c r="C15" s="8">
        <v>0.17647058823529399</v>
      </c>
      <c r="D15" s="4">
        <f t="shared" si="0"/>
        <v>1.8176470588235282E-3</v>
      </c>
    </row>
    <row r="16" spans="1:4" x14ac:dyDescent="0.25">
      <c r="A16" s="4" t="s">
        <v>22</v>
      </c>
      <c r="B16" s="4">
        <v>0.98</v>
      </c>
      <c r="C16" s="8">
        <v>-4.2553191489361701</v>
      </c>
      <c r="D16" s="4">
        <f t="shared" si="0"/>
        <v>-4.170212765957447E-2</v>
      </c>
    </row>
    <row r="17" spans="1:4" x14ac:dyDescent="0.25">
      <c r="A17" s="4" t="s">
        <v>36</v>
      </c>
      <c r="B17" s="4">
        <v>0.87</v>
      </c>
      <c r="C17" s="8">
        <v>1.34680134680134</v>
      </c>
      <c r="D17" s="4">
        <f t="shared" si="0"/>
        <v>1.1717171717171657E-2</v>
      </c>
    </row>
    <row r="18" spans="1:4" x14ac:dyDescent="0.25">
      <c r="A18" s="4" t="s">
        <v>27</v>
      </c>
      <c r="B18" s="4">
        <v>0.59</v>
      </c>
      <c r="C18" s="8">
        <v>-0.70588235294117596</v>
      </c>
      <c r="D18" s="4">
        <f t="shared" si="0"/>
        <v>-4.1647058823529384E-3</v>
      </c>
    </row>
    <row r="19" spans="1:4" x14ac:dyDescent="0.25">
      <c r="A19" s="4" t="s">
        <v>58</v>
      </c>
      <c r="B19" s="4">
        <v>0.5</v>
      </c>
      <c r="C19" s="8">
        <v>-5.4229934924078002E-2</v>
      </c>
      <c r="D19" s="4">
        <f t="shared" si="0"/>
        <v>-2.7114967462039003E-4</v>
      </c>
    </row>
    <row r="20" spans="1:4" x14ac:dyDescent="0.25">
      <c r="A20" s="4" t="s">
        <v>39</v>
      </c>
      <c r="B20" s="4">
        <v>0.48</v>
      </c>
      <c r="C20" s="8">
        <v>0.47694753577106502</v>
      </c>
      <c r="D20" s="4">
        <f t="shared" si="0"/>
        <v>2.2893481717011122E-3</v>
      </c>
    </row>
    <row r="21" spans="1:4" x14ac:dyDescent="0.25">
      <c r="A21" s="4" t="s">
        <v>28</v>
      </c>
      <c r="B21" s="4">
        <v>0.42</v>
      </c>
      <c r="C21" s="8">
        <v>-0.98214285714285698</v>
      </c>
      <c r="D21" s="4">
        <f t="shared" si="0"/>
        <v>-4.1249999999999993E-3</v>
      </c>
    </row>
    <row r="22" spans="1:4" x14ac:dyDescent="0.25">
      <c r="A22" s="4" t="s">
        <v>37</v>
      </c>
      <c r="B22" s="4">
        <v>0.4</v>
      </c>
      <c r="C22" s="8">
        <v>-1.4560279557367499</v>
      </c>
      <c r="D22" s="4">
        <f t="shared" si="0"/>
        <v>-5.8241118229470003E-3</v>
      </c>
    </row>
    <row r="23" spans="1:4" x14ac:dyDescent="0.25">
      <c r="A23" s="4" t="s">
        <v>33</v>
      </c>
      <c r="B23" s="4">
        <v>0.38</v>
      </c>
      <c r="C23" s="8">
        <v>-1.0575016523463301</v>
      </c>
      <c r="D23" s="4">
        <f t="shared" si="0"/>
        <v>-4.0185062789160541E-3</v>
      </c>
    </row>
    <row r="24" spans="1:4" x14ac:dyDescent="0.25">
      <c r="A24" s="4" t="s">
        <v>2</v>
      </c>
      <c r="B24" s="4">
        <v>0.25</v>
      </c>
      <c r="C24" s="8">
        <v>-4.55293472298409</v>
      </c>
      <c r="D24" s="4">
        <f t="shared" si="0"/>
        <v>-1.1382336807460225E-2</v>
      </c>
    </row>
    <row r="25" spans="1:4" x14ac:dyDescent="0.25">
      <c r="A25" s="4" t="s">
        <v>38</v>
      </c>
      <c r="B25" s="4">
        <v>0.25</v>
      </c>
      <c r="C25" s="8">
        <v>-4.4987146529562896</v>
      </c>
      <c r="D25" s="4">
        <f t="shared" si="0"/>
        <v>-1.1246786632390725E-2</v>
      </c>
    </row>
    <row r="26" spans="1:4" x14ac:dyDescent="0.25">
      <c r="A26" s="4" t="s">
        <v>34</v>
      </c>
      <c r="B26" s="4">
        <v>0.24</v>
      </c>
      <c r="C26" s="8">
        <v>-3.8777032065622601</v>
      </c>
      <c r="D26" s="4">
        <f t="shared" si="0"/>
        <v>-9.3064876957494238E-3</v>
      </c>
    </row>
    <row r="27" spans="1:4" x14ac:dyDescent="0.25">
      <c r="A27" s="4" t="s">
        <v>3</v>
      </c>
      <c r="B27" s="4">
        <v>0.23</v>
      </c>
      <c r="C27" s="8">
        <v>0</v>
      </c>
      <c r="D27" s="4">
        <f t="shared" si="0"/>
        <v>0</v>
      </c>
    </row>
    <row r="28" spans="1:4" x14ac:dyDescent="0.25">
      <c r="A28" s="4" t="s">
        <v>40</v>
      </c>
      <c r="B28" s="4">
        <v>0.2</v>
      </c>
      <c r="C28" s="8">
        <v>-4.01633764465622</v>
      </c>
      <c r="D28" s="4">
        <f t="shared" si="0"/>
        <v>-8.0326752893124416E-3</v>
      </c>
    </row>
    <row r="29" spans="1:4" x14ac:dyDescent="0.25">
      <c r="A29" s="4" t="s">
        <v>59</v>
      </c>
      <c r="B29" s="13">
        <v>0.08</v>
      </c>
      <c r="C29" s="15">
        <v>-8.1938325991189398</v>
      </c>
      <c r="D29" s="4">
        <f t="shared" si="0"/>
        <v>-6.5550660792951521E-3</v>
      </c>
    </row>
    <row r="30" spans="1:4" x14ac:dyDescent="0.25">
      <c r="A30" s="4" t="s">
        <v>57</v>
      </c>
      <c r="B30" s="4">
        <v>0.01</v>
      </c>
      <c r="C30" s="8">
        <v>-1.5162454873646201</v>
      </c>
      <c r="D30" s="4">
        <f t="shared" si="0"/>
        <v>-1.51624548736462E-4</v>
      </c>
    </row>
    <row r="31" spans="1:4" x14ac:dyDescent="0.25">
      <c r="A31" s="4" t="s">
        <v>41</v>
      </c>
      <c r="B31" s="4">
        <v>7.99</v>
      </c>
      <c r="C31" s="4">
        <v>2.1800000000000002</v>
      </c>
      <c r="D31" s="4">
        <f t="shared" si="0"/>
        <v>0.17418200000000003</v>
      </c>
    </row>
    <row r="32" spans="1:4" x14ac:dyDescent="0.25">
      <c r="A32" s="4" t="s">
        <v>42</v>
      </c>
      <c r="B32" s="4">
        <v>7.7</v>
      </c>
      <c r="C32" s="4">
        <v>2.09</v>
      </c>
      <c r="D32" s="4">
        <f t="shared" si="0"/>
        <v>0.16092999999999999</v>
      </c>
    </row>
    <row r="33" spans="1:5" x14ac:dyDescent="0.25">
      <c r="A33" s="4" t="s">
        <v>54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62</v>
      </c>
      <c r="B34" s="4">
        <v>0.78</v>
      </c>
      <c r="C34" s="4">
        <v>0.14000000000000001</v>
      </c>
      <c r="D34" s="4">
        <f t="shared" si="0"/>
        <v>1.0920000000000001E-3</v>
      </c>
    </row>
    <row r="35" spans="1:5" x14ac:dyDescent="0.25">
      <c r="A35" s="4" t="s">
        <v>63</v>
      </c>
      <c r="B35" s="4">
        <v>0.57999999999999996</v>
      </c>
      <c r="C35" s="4">
        <v>-10.07</v>
      </c>
      <c r="D35" s="4">
        <f t="shared" si="0"/>
        <v>-5.8405999999999993E-2</v>
      </c>
    </row>
    <row r="36" spans="1:5" x14ac:dyDescent="0.25">
      <c r="A36" s="4" t="s">
        <v>64</v>
      </c>
      <c r="B36" s="4">
        <v>0.06</v>
      </c>
      <c r="C36" s="4">
        <v>0.5</v>
      </c>
      <c r="D36" s="4">
        <f t="shared" si="0"/>
        <v>2.9999999999999997E-4</v>
      </c>
    </row>
    <row r="37" spans="1:5" x14ac:dyDescent="0.25">
      <c r="A37" s="12" t="s">
        <v>61</v>
      </c>
      <c r="B37" s="5">
        <f>SUM(B2:B36)</f>
        <v>84.419999999999987</v>
      </c>
      <c r="D37" s="6">
        <f>SUM(D2:D36)</f>
        <v>0.37184087451756931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/>
      <c r="B53" s="30"/>
      <c r="C53" s="30"/>
      <c r="D53" s="20"/>
      <c r="E53" s="5"/>
      <c r="F53" s="5"/>
    </row>
    <row r="54" spans="1:6" x14ac:dyDescent="0.25">
      <c r="A54" s="18"/>
      <c r="B54" s="29"/>
      <c r="C54" s="29"/>
      <c r="D54" s="21"/>
      <c r="E54" s="22"/>
      <c r="F54" s="24"/>
    </row>
    <row r="55" spans="1:6" x14ac:dyDescent="0.25">
      <c r="A55" s="18"/>
      <c r="B55" s="29"/>
      <c r="C55" s="29"/>
      <c r="D55" s="21"/>
      <c r="E55" s="22"/>
      <c r="F55" s="24"/>
    </row>
    <row r="56" spans="1:6" x14ac:dyDescent="0.25">
      <c r="A56" s="18"/>
      <c r="B56" s="29"/>
      <c r="C56" s="29"/>
      <c r="D56" s="21"/>
      <c r="E56" s="22"/>
      <c r="F56" s="24"/>
    </row>
    <row r="57" spans="1:6" x14ac:dyDescent="0.25">
      <c r="A57" s="18"/>
      <c r="B57" s="29"/>
      <c r="C57" s="29"/>
      <c r="D57" s="21"/>
      <c r="E57" s="22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18"/>
      <c r="B59" s="29"/>
      <c r="C59" s="29"/>
      <c r="D59" s="21"/>
      <c r="E59" s="21"/>
      <c r="F59" s="24"/>
    </row>
    <row r="60" spans="1:6" x14ac:dyDescent="0.25">
      <c r="A60" s="18"/>
      <c r="B60" s="29"/>
      <c r="C60" s="29"/>
      <c r="D60" s="21"/>
      <c r="E60" s="21"/>
      <c r="F60" s="24"/>
    </row>
    <row r="61" spans="1:6" x14ac:dyDescent="0.25">
      <c r="A61" s="18"/>
      <c r="B61" s="29"/>
      <c r="C61" s="29"/>
      <c r="D61" s="21"/>
      <c r="E61" s="21"/>
      <c r="F61" s="24"/>
    </row>
    <row r="62" spans="1:6" x14ac:dyDescent="0.25">
      <c r="A62" s="18"/>
      <c r="B62" s="29"/>
      <c r="C62" s="29"/>
      <c r="D62" s="21"/>
      <c r="E62" s="21"/>
      <c r="F62" s="24"/>
    </row>
    <row r="63" spans="1:6" x14ac:dyDescent="0.25">
      <c r="A63" s="18"/>
      <c r="B63" s="29"/>
      <c r="C63" s="29"/>
      <c r="D63" s="21"/>
      <c r="E63" s="21"/>
      <c r="F63" s="24"/>
    </row>
    <row r="64" spans="1:6" x14ac:dyDescent="0.25">
      <c r="A64" s="18"/>
      <c r="B64" s="29"/>
      <c r="C64" s="29"/>
      <c r="D64" s="21"/>
      <c r="E64" s="21"/>
      <c r="F64" s="24"/>
    </row>
    <row r="65" spans="1:6" x14ac:dyDescent="0.25">
      <c r="A65" s="18"/>
      <c r="B65" s="29"/>
      <c r="C65" s="29"/>
      <c r="D65" s="21"/>
      <c r="E65" s="21"/>
      <c r="F65" s="24"/>
    </row>
    <row r="66" spans="1:6" x14ac:dyDescent="0.25">
      <c r="A66" s="18"/>
      <c r="B66" s="29"/>
      <c r="C66" s="29"/>
      <c r="D66" s="21"/>
      <c r="E66" s="21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D28" sqref="D28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0.28042624789680298</v>
      </c>
      <c r="D2" s="4">
        <f>B2*C2/100</f>
        <v>0.14792484576556358</v>
      </c>
    </row>
    <row r="3" spans="1:5" x14ac:dyDescent="0.25">
      <c r="A3" s="4" t="s">
        <v>45</v>
      </c>
      <c r="B3" s="4">
        <v>11.12</v>
      </c>
      <c r="C3" s="8">
        <v>-2.26308345120226</v>
      </c>
      <c r="D3" s="4">
        <f t="shared" ref="D3:D5" si="0">B3*C3/100</f>
        <v>-0.25165487977369128</v>
      </c>
    </row>
    <row r="4" spans="1:5" x14ac:dyDescent="0.25">
      <c r="A4" s="4" t="s">
        <v>46</v>
      </c>
      <c r="B4" s="4">
        <v>0.53</v>
      </c>
      <c r="C4" s="8">
        <v>9.6339113680154104E-2</v>
      </c>
      <c r="D4" s="4">
        <f t="shared" si="0"/>
        <v>5.1059730250481677E-4</v>
      </c>
    </row>
    <row r="5" spans="1:5" x14ac:dyDescent="0.25">
      <c r="A5" s="4" t="s">
        <v>47</v>
      </c>
      <c r="B5" s="4">
        <v>29.82</v>
      </c>
      <c r="C5" s="4">
        <v>1.98</v>
      </c>
      <c r="D5" s="4">
        <f t="shared" si="0"/>
        <v>0.59043599999999996</v>
      </c>
    </row>
    <row r="6" spans="1:5" x14ac:dyDescent="0.25">
      <c r="A6" s="12" t="s">
        <v>61</v>
      </c>
      <c r="B6" s="5">
        <f>B2++B3+B4+B5</f>
        <v>94.22</v>
      </c>
      <c r="C6" s="4"/>
      <c r="D6" s="6">
        <f>D2+D3+D4+D5</f>
        <v>0.48721656329437707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20"/>
      <c r="E31" s="5"/>
      <c r="F31" s="5"/>
    </row>
    <row r="32" spans="1:6" x14ac:dyDescent="0.25">
      <c r="A32" s="23"/>
      <c r="B32" s="29"/>
      <c r="C32" s="29"/>
      <c r="D32" s="21"/>
      <c r="E32" s="21"/>
      <c r="F32" s="24"/>
    </row>
    <row r="33" spans="1:6" x14ac:dyDescent="0.25">
      <c r="A33" s="23"/>
      <c r="B33" s="29"/>
      <c r="C33" s="29"/>
      <c r="D33" s="21"/>
      <c r="E33" s="21"/>
      <c r="F33" s="24"/>
    </row>
    <row r="34" spans="1:6" x14ac:dyDescent="0.25">
      <c r="A34" s="23"/>
      <c r="B34" s="29"/>
      <c r="C34" s="29"/>
      <c r="D34" s="21"/>
      <c r="E34" s="21"/>
      <c r="F34" s="24"/>
    </row>
    <row r="35" spans="1:6" x14ac:dyDescent="0.25">
      <c r="A35" s="23"/>
      <c r="B35" s="29"/>
      <c r="C35" s="29"/>
      <c r="D35" s="21"/>
      <c r="E35" s="21"/>
      <c r="F35" s="24"/>
    </row>
    <row r="36" spans="1:6" x14ac:dyDescent="0.25">
      <c r="A36" s="23"/>
      <c r="B36" s="29"/>
      <c r="C36" s="29"/>
      <c r="D36" s="21"/>
      <c r="E36" s="21"/>
      <c r="F36" s="24"/>
    </row>
    <row r="37" spans="1:6" x14ac:dyDescent="0.25">
      <c r="A37" s="23"/>
      <c r="B37" s="29"/>
      <c r="C37" s="29"/>
      <c r="D37" s="21"/>
      <c r="E37" s="21"/>
      <c r="F37" s="24"/>
    </row>
    <row r="38" spans="1:6" x14ac:dyDescent="0.25">
      <c r="A38" s="23"/>
      <c r="B38" s="29"/>
      <c r="C38" s="29"/>
      <c r="D38" s="21"/>
      <c r="E38" s="21"/>
      <c r="F38" s="24"/>
    </row>
    <row r="39" spans="1:6" x14ac:dyDescent="0.25">
      <c r="A39" s="23"/>
      <c r="B39" s="29"/>
      <c r="C39" s="29"/>
      <c r="D39" s="21"/>
      <c r="E39" s="21"/>
      <c r="F39" s="24"/>
    </row>
    <row r="40" spans="1:6" x14ac:dyDescent="0.25">
      <c r="A40" s="23"/>
      <c r="B40" s="29"/>
      <c r="C40" s="29"/>
      <c r="D40" s="21"/>
      <c r="E40" s="21"/>
      <c r="F40" s="24"/>
    </row>
    <row r="41" spans="1:6" x14ac:dyDescent="0.25">
      <c r="A41" s="23"/>
      <c r="B41" s="29"/>
      <c r="C41" s="29"/>
      <c r="D41" s="21"/>
      <c r="E41" s="21"/>
      <c r="F41" s="24"/>
    </row>
    <row r="42" spans="1:6" x14ac:dyDescent="0.25">
      <c r="A42" s="23"/>
      <c r="B42" s="29"/>
      <c r="C42" s="29"/>
      <c r="D42" s="21"/>
      <c r="E42" s="21"/>
      <c r="F42" s="24"/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opLeftCell="A22" workbookViewId="0">
      <selection activeCell="E48" sqref="E48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1.3063357282821599</v>
      </c>
      <c r="D2" s="7">
        <f>B2*C2/100</f>
        <v>0.11939908556498942</v>
      </c>
    </row>
    <row r="3" spans="1:4" x14ac:dyDescent="0.25">
      <c r="A3" s="4" t="s">
        <v>5</v>
      </c>
      <c r="B3" s="4">
        <v>8.17</v>
      </c>
      <c r="C3" s="3">
        <v>1.19760479041916</v>
      </c>
      <c r="D3" s="7">
        <f t="shared" ref="D3:D50" si="0">B3*C3/100</f>
        <v>9.7844311377245377E-2</v>
      </c>
    </row>
    <row r="4" spans="1:4" x14ac:dyDescent="0.25">
      <c r="A4" s="4" t="s">
        <v>3</v>
      </c>
      <c r="B4" s="4">
        <v>8.1199999999999992</v>
      </c>
      <c r="C4" s="3">
        <v>0</v>
      </c>
      <c r="D4" s="7">
        <f t="shared" si="0"/>
        <v>0</v>
      </c>
    </row>
    <row r="5" spans="1:4" x14ac:dyDescent="0.25">
      <c r="A5" s="4" t="s">
        <v>1</v>
      </c>
      <c r="B5" s="4">
        <v>6.99</v>
      </c>
      <c r="C5" s="3">
        <v>0</v>
      </c>
      <c r="D5" s="7">
        <f t="shared" si="0"/>
        <v>0</v>
      </c>
    </row>
    <row r="6" spans="1:4" x14ac:dyDescent="0.25">
      <c r="A6" s="4" t="s">
        <v>6</v>
      </c>
      <c r="B6" s="4">
        <v>5.99</v>
      </c>
      <c r="C6" s="3">
        <v>3.12249799839871</v>
      </c>
      <c r="D6" s="7">
        <f t="shared" si="0"/>
        <v>0.18703763010408272</v>
      </c>
    </row>
    <row r="7" spans="1:4" x14ac:dyDescent="0.25">
      <c r="A7" s="4" t="s">
        <v>65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-0.70921985815602795</v>
      </c>
      <c r="D8" s="7">
        <f t="shared" si="0"/>
        <v>-3.163120567375885E-2</v>
      </c>
    </row>
    <row r="9" spans="1:4" x14ac:dyDescent="0.25">
      <c r="A9" s="4" t="s">
        <v>8</v>
      </c>
      <c r="B9" s="4">
        <v>4.17</v>
      </c>
      <c r="C9" s="3">
        <v>3.1333333333333302</v>
      </c>
      <c r="D9" s="7">
        <f t="shared" si="0"/>
        <v>0.13065999999999986</v>
      </c>
    </row>
    <row r="10" spans="1:4" x14ac:dyDescent="0.25">
      <c r="A10" s="4" t="s">
        <v>4</v>
      </c>
      <c r="B10" s="4">
        <v>3.23</v>
      </c>
      <c r="C10" s="3">
        <v>0.51020408163265296</v>
      </c>
      <c r="D10" s="7">
        <f t="shared" si="0"/>
        <v>1.647959183673469E-2</v>
      </c>
    </row>
    <row r="11" spans="1:4" x14ac:dyDescent="0.25">
      <c r="A11" s="4" t="s">
        <v>16</v>
      </c>
      <c r="B11" s="4">
        <v>2.84</v>
      </c>
      <c r="C11" s="3">
        <v>-0.66006600660065995</v>
      </c>
      <c r="D11" s="7">
        <f t="shared" si="0"/>
        <v>-1.8745874587458741E-2</v>
      </c>
    </row>
    <row r="12" spans="1:4" x14ac:dyDescent="0.25">
      <c r="A12" s="4" t="s">
        <v>33</v>
      </c>
      <c r="B12" s="4">
        <v>2.54</v>
      </c>
      <c r="C12" s="28">
        <v>-1.0575016523463301</v>
      </c>
      <c r="D12" s="7">
        <f t="shared" si="0"/>
        <v>-2.6860541969596783E-2</v>
      </c>
    </row>
    <row r="13" spans="1:4" x14ac:dyDescent="0.25">
      <c r="A13" s="4" t="s">
        <v>18</v>
      </c>
      <c r="B13" s="26">
        <v>2.37</v>
      </c>
      <c r="C13" s="3">
        <v>-9.0604651162790599</v>
      </c>
      <c r="D13" s="7">
        <f t="shared" si="0"/>
        <v>-0.21473302325581373</v>
      </c>
    </row>
    <row r="14" spans="1:4" x14ac:dyDescent="0.25">
      <c r="A14" s="4" t="s">
        <v>66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58</v>
      </c>
      <c r="B15" s="26">
        <v>2.21</v>
      </c>
      <c r="C15" s="27">
        <v>-5.4229934924078002E-2</v>
      </c>
      <c r="D15" s="7">
        <f t="shared" si="0"/>
        <v>-1.1984815618221239E-3</v>
      </c>
    </row>
    <row r="16" spans="1:4" x14ac:dyDescent="0.25">
      <c r="A16" s="4" t="s">
        <v>2</v>
      </c>
      <c r="B16" s="4">
        <v>1.93</v>
      </c>
      <c r="C16" s="3">
        <v>-4.55293472298409</v>
      </c>
      <c r="D16" s="7">
        <f t="shared" si="0"/>
        <v>-8.7871640153592931E-2</v>
      </c>
    </row>
    <row r="17" spans="1:4" x14ac:dyDescent="0.25">
      <c r="A17" s="4" t="s">
        <v>23</v>
      </c>
      <c r="B17" s="4">
        <v>1.77</v>
      </c>
      <c r="C17" s="3">
        <v>-1.0169491525423699</v>
      </c>
      <c r="D17" s="7">
        <f t="shared" si="0"/>
        <v>-1.799999999999995E-2</v>
      </c>
    </row>
    <row r="18" spans="1:4" x14ac:dyDescent="0.25">
      <c r="A18" s="4" t="s">
        <v>67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-0.74318744838976003</v>
      </c>
      <c r="D19" s="7">
        <f t="shared" si="0"/>
        <v>-1.1222130470685376E-2</v>
      </c>
    </row>
    <row r="20" spans="1:4" x14ac:dyDescent="0.25">
      <c r="A20" s="4" t="s">
        <v>68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69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-1.9617459538989701</v>
      </c>
      <c r="D22" s="7">
        <f t="shared" si="0"/>
        <v>-2.805296714075527E-2</v>
      </c>
    </row>
    <row r="23" spans="1:4" x14ac:dyDescent="0.25">
      <c r="A23" s="4" t="s">
        <v>27</v>
      </c>
      <c r="B23" s="26">
        <v>1.42</v>
      </c>
      <c r="C23" s="27">
        <v>-0.70588235294117596</v>
      </c>
      <c r="D23" s="7">
        <f t="shared" si="0"/>
        <v>-1.0023529411764698E-2</v>
      </c>
    </row>
    <row r="24" spans="1:4" x14ac:dyDescent="0.25">
      <c r="A24" s="4" t="s">
        <v>19</v>
      </c>
      <c r="B24" s="26">
        <v>1.4</v>
      </c>
      <c r="C24" s="27">
        <v>-0.97305389221556804</v>
      </c>
      <c r="D24" s="7">
        <f t="shared" si="0"/>
        <v>-1.3622754491017953E-2</v>
      </c>
    </row>
    <row r="25" spans="1:4" x14ac:dyDescent="0.25">
      <c r="A25" s="4" t="s">
        <v>26</v>
      </c>
      <c r="B25" s="26">
        <v>1.33</v>
      </c>
      <c r="C25" s="27">
        <v>-1.8217306441119001</v>
      </c>
      <c r="D25" s="7">
        <f t="shared" si="0"/>
        <v>-2.4229017566688271E-2</v>
      </c>
    </row>
    <row r="26" spans="1:4" x14ac:dyDescent="0.25">
      <c r="A26" s="4" t="s">
        <v>70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-2.0892687559354202</v>
      </c>
      <c r="D27" s="7">
        <f t="shared" si="0"/>
        <v>-2.4444444444444414E-2</v>
      </c>
    </row>
    <row r="28" spans="1:4" x14ac:dyDescent="0.25">
      <c r="A28" s="4" t="s">
        <v>71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72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73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56</v>
      </c>
      <c r="B31" s="26">
        <v>0.82</v>
      </c>
      <c r="C31" s="27">
        <v>0.45745654162854499</v>
      </c>
      <c r="D31" s="7">
        <f t="shared" si="0"/>
        <v>3.751143641354069E-3</v>
      </c>
    </row>
    <row r="32" spans="1:4" x14ac:dyDescent="0.25">
      <c r="A32" s="4" t="s">
        <v>29</v>
      </c>
      <c r="B32" s="26">
        <v>0.8</v>
      </c>
      <c r="C32" s="27">
        <v>-7.89889415481832E-2</v>
      </c>
      <c r="D32" s="7">
        <f t="shared" si="0"/>
        <v>-6.3191153238546555E-4</v>
      </c>
    </row>
    <row r="33" spans="1:4" x14ac:dyDescent="0.25">
      <c r="A33" s="4" t="s">
        <v>74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6.95936478281177</v>
      </c>
      <c r="D34" s="7">
        <f t="shared" si="0"/>
        <v>5.2891172349369457E-2</v>
      </c>
    </row>
    <row r="35" spans="1:4" x14ac:dyDescent="0.25">
      <c r="A35" s="4" t="s">
        <v>22</v>
      </c>
      <c r="B35" s="26">
        <v>0.73</v>
      </c>
      <c r="C35" s="27">
        <v>-4.2553191489361701</v>
      </c>
      <c r="D35" s="7">
        <f t="shared" si="0"/>
        <v>-3.106382978723404E-2</v>
      </c>
    </row>
    <row r="36" spans="1:4" x14ac:dyDescent="0.25">
      <c r="A36" s="4" t="s">
        <v>75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76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77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78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79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80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81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82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83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84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85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86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87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88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89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61</v>
      </c>
      <c r="B51" s="5">
        <f>SUM(B2:B50)</f>
        <v>99.950000000000031</v>
      </c>
      <c r="C51" s="5"/>
      <c r="D51" s="6">
        <f>SUM(D2:D50)</f>
        <v>0.10119658282675704</v>
      </c>
    </row>
    <row r="62" spans="1:6" x14ac:dyDescent="0.25">
      <c r="A62" s="5"/>
      <c r="B62" s="30"/>
      <c r="C62" s="30"/>
      <c r="D62" s="20"/>
      <c r="E62" s="5"/>
      <c r="F62" s="5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topLeftCell="A22" workbookViewId="0">
      <selection activeCell="E58" sqref="E58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85</v>
      </c>
      <c r="B2" s="4">
        <v>7.83</v>
      </c>
      <c r="C2" s="3">
        <v>0</v>
      </c>
      <c r="D2" s="7">
        <f>B2*C2/100</f>
        <v>0</v>
      </c>
    </row>
    <row r="3" spans="1:4" x14ac:dyDescent="0.25">
      <c r="A3" s="4" t="s">
        <v>1</v>
      </c>
      <c r="B3" s="4">
        <v>7.91</v>
      </c>
      <c r="C3" s="3">
        <v>0</v>
      </c>
      <c r="D3" s="7">
        <f>B3*C3/100</f>
        <v>0</v>
      </c>
    </row>
    <row r="4" spans="1:4" x14ac:dyDescent="0.25">
      <c r="A4" s="4" t="s">
        <v>2</v>
      </c>
      <c r="B4" s="4">
        <v>7.32</v>
      </c>
      <c r="C4" s="3">
        <v>-4.55293472298409</v>
      </c>
      <c r="D4" s="7">
        <f t="shared" ref="D4:D25" si="0">B4*C4/100</f>
        <v>-0.33327482172243544</v>
      </c>
    </row>
    <row r="5" spans="1:4" x14ac:dyDescent="0.25">
      <c r="A5" s="4" t="s">
        <v>5</v>
      </c>
      <c r="B5" s="4">
        <v>6.1</v>
      </c>
      <c r="C5" s="3">
        <v>1.19760479041916</v>
      </c>
      <c r="D5" s="7">
        <f t="shared" si="0"/>
        <v>7.3053892215568753E-2</v>
      </c>
    </row>
    <row r="6" spans="1:4" x14ac:dyDescent="0.25">
      <c r="A6" s="4" t="s">
        <v>91</v>
      </c>
      <c r="B6" s="4">
        <v>5.1100000000000003</v>
      </c>
      <c r="C6" s="3">
        <v>9.9551569506726398</v>
      </c>
      <c r="D6" s="7">
        <f t="shared" si="0"/>
        <v>0.50870852017937196</v>
      </c>
    </row>
    <row r="7" spans="1:4" x14ac:dyDescent="0.25">
      <c r="A7" s="4" t="s">
        <v>50</v>
      </c>
      <c r="B7" s="4">
        <v>4.75</v>
      </c>
      <c r="C7" s="3">
        <v>1.3063357282821599</v>
      </c>
      <c r="D7" s="7">
        <f t="shared" si="0"/>
        <v>6.2050947093402593E-2</v>
      </c>
    </row>
    <row r="8" spans="1:4" x14ac:dyDescent="0.25">
      <c r="A8" s="4" t="s">
        <v>4</v>
      </c>
      <c r="B8" s="4">
        <v>4.49</v>
      </c>
      <c r="C8" s="3">
        <v>0.51020408163265296</v>
      </c>
      <c r="D8" s="7">
        <f t="shared" si="0"/>
        <v>2.290816326530612E-2</v>
      </c>
    </row>
    <row r="9" spans="1:4" x14ac:dyDescent="0.25">
      <c r="A9" s="4" t="s">
        <v>20</v>
      </c>
      <c r="B9" s="4">
        <v>4.16</v>
      </c>
      <c r="C9" s="3">
        <v>0.17647058823529399</v>
      </c>
      <c r="D9" s="7">
        <f t="shared" si="0"/>
        <v>7.3411764705882294E-3</v>
      </c>
    </row>
    <row r="10" spans="1:4" x14ac:dyDescent="0.25">
      <c r="A10" s="4" t="s">
        <v>16</v>
      </c>
      <c r="B10" s="4">
        <v>3.99</v>
      </c>
      <c r="C10" s="3">
        <v>-0.66006600660065995</v>
      </c>
      <c r="D10" s="7">
        <f t="shared" si="0"/>
        <v>-2.6336633663366332E-2</v>
      </c>
    </row>
    <row r="11" spans="1:4" x14ac:dyDescent="0.25">
      <c r="A11" s="4" t="s">
        <v>39</v>
      </c>
      <c r="B11" s="4">
        <v>3.98</v>
      </c>
      <c r="C11" s="3">
        <v>0.47694753577106502</v>
      </c>
      <c r="D11" s="7">
        <f t="shared" si="0"/>
        <v>1.8982511923688387E-2</v>
      </c>
    </row>
    <row r="12" spans="1:4" x14ac:dyDescent="0.25">
      <c r="A12" s="4" t="s">
        <v>92</v>
      </c>
      <c r="B12" s="4">
        <v>3.97</v>
      </c>
      <c r="C12" s="3">
        <v>-2.0686175580221899</v>
      </c>
      <c r="D12" s="7">
        <f t="shared" si="0"/>
        <v>-8.2124117053480938E-2</v>
      </c>
    </row>
    <row r="13" spans="1:4" x14ac:dyDescent="0.25">
      <c r="A13" s="4" t="s">
        <v>87</v>
      </c>
      <c r="B13" s="4">
        <v>3.96</v>
      </c>
      <c r="C13" s="3">
        <v>8.1138040042149608</v>
      </c>
      <c r="D13" s="7">
        <f t="shared" si="0"/>
        <v>0.32130663856691244</v>
      </c>
    </row>
    <row r="14" spans="1:4" x14ac:dyDescent="0.25">
      <c r="A14" s="4" t="s">
        <v>93</v>
      </c>
      <c r="B14" s="4">
        <v>3.55</v>
      </c>
      <c r="C14" s="3">
        <v>-8</v>
      </c>
      <c r="D14" s="7">
        <f t="shared" si="0"/>
        <v>-0.28399999999999997</v>
      </c>
    </row>
    <row r="15" spans="1:4" x14ac:dyDescent="0.25">
      <c r="A15" s="4" t="s">
        <v>94</v>
      </c>
      <c r="B15" s="4">
        <v>3.41</v>
      </c>
      <c r="C15" s="3">
        <v>-9.9550898203592801</v>
      </c>
      <c r="D15" s="7">
        <f t="shared" si="0"/>
        <v>-0.33946856287425148</v>
      </c>
    </row>
    <row r="16" spans="1:4" x14ac:dyDescent="0.25">
      <c r="A16" s="4" t="s">
        <v>95</v>
      </c>
      <c r="B16" s="4">
        <v>3.36</v>
      </c>
      <c r="C16" s="3">
        <v>-10</v>
      </c>
      <c r="D16" s="7">
        <f t="shared" si="0"/>
        <v>-0.33600000000000002</v>
      </c>
    </row>
    <row r="17" spans="1:5" x14ac:dyDescent="0.25">
      <c r="A17" s="4" t="s">
        <v>6</v>
      </c>
      <c r="B17" s="4">
        <v>3.08</v>
      </c>
      <c r="C17" s="3">
        <v>3.12249799839871</v>
      </c>
      <c r="D17" s="7">
        <f t="shared" si="0"/>
        <v>9.6172938350680276E-2</v>
      </c>
    </row>
    <row r="18" spans="1:5" x14ac:dyDescent="0.25">
      <c r="A18" s="4" t="s">
        <v>70</v>
      </c>
      <c r="B18" s="4">
        <v>2.86</v>
      </c>
      <c r="C18" s="3">
        <v>-3.79596678529062</v>
      </c>
      <c r="D18" s="7">
        <f t="shared" si="0"/>
        <v>-0.10856465005931172</v>
      </c>
    </row>
    <row r="19" spans="1:5" x14ac:dyDescent="0.25">
      <c r="A19" s="4" t="s">
        <v>96</v>
      </c>
      <c r="B19" s="4">
        <v>2.66</v>
      </c>
      <c r="C19" s="3">
        <v>-2.3635340461451801</v>
      </c>
      <c r="D19" s="7">
        <f t="shared" si="0"/>
        <v>-6.2870005627461797E-2</v>
      </c>
    </row>
    <row r="20" spans="1:5" x14ac:dyDescent="0.25">
      <c r="A20" s="4" t="s">
        <v>3</v>
      </c>
      <c r="B20" s="4">
        <v>2.62</v>
      </c>
      <c r="C20" s="3">
        <v>0</v>
      </c>
      <c r="D20" s="7">
        <f t="shared" si="0"/>
        <v>0</v>
      </c>
    </row>
    <row r="21" spans="1:5" x14ac:dyDescent="0.25">
      <c r="A21" s="4" t="s">
        <v>97</v>
      </c>
      <c r="B21" s="4">
        <v>2.58</v>
      </c>
      <c r="C21" s="3">
        <v>-1.56782549420586</v>
      </c>
      <c r="D21" s="7">
        <f t="shared" si="0"/>
        <v>-4.0449897750511193E-2</v>
      </c>
    </row>
    <row r="22" spans="1:5" x14ac:dyDescent="0.25">
      <c r="A22" s="4" t="s">
        <v>8</v>
      </c>
      <c r="B22" s="4">
        <v>2.31</v>
      </c>
      <c r="C22" s="3">
        <v>3.1333333333333302</v>
      </c>
      <c r="D22" s="7">
        <f t="shared" si="0"/>
        <v>7.2379999999999931E-2</v>
      </c>
    </row>
    <row r="23" spans="1:5" x14ac:dyDescent="0.25">
      <c r="A23" s="4" t="s">
        <v>88</v>
      </c>
      <c r="B23" s="4">
        <v>2.25</v>
      </c>
      <c r="C23" s="3">
        <v>-1.02941176470588</v>
      </c>
      <c r="D23" s="7">
        <f t="shared" si="0"/>
        <v>-2.3161764705882302E-2</v>
      </c>
    </row>
    <row r="24" spans="1:5" x14ac:dyDescent="0.25">
      <c r="A24" s="4" t="s">
        <v>98</v>
      </c>
      <c r="B24" s="4">
        <v>1.85</v>
      </c>
      <c r="C24" s="3">
        <v>9.6525096525096499E-2</v>
      </c>
      <c r="D24" s="7">
        <f t="shared" si="0"/>
        <v>1.7857142857142852E-3</v>
      </c>
    </row>
    <row r="25" spans="1:5" x14ac:dyDescent="0.25">
      <c r="A25" s="4" t="s">
        <v>71</v>
      </c>
      <c r="B25" s="4">
        <v>1.74</v>
      </c>
      <c r="C25" s="3">
        <v>-3.6910457963089498</v>
      </c>
      <c r="D25" s="7">
        <f t="shared" si="0"/>
        <v>-6.4224196855775725E-2</v>
      </c>
    </row>
    <row r="26" spans="1:5" x14ac:dyDescent="0.25">
      <c r="A26" s="16" t="s">
        <v>61</v>
      </c>
      <c r="B26" s="5">
        <f>B2+B3+B4+B5+B6+B7+B8+B9+B10+B11+B12+B13+B14+B15+B16+B17+B18+B19+B20+B21+B22+B23+B24+B25</f>
        <v>95.839999999999989</v>
      </c>
      <c r="C26" s="5"/>
      <c r="D26" s="6">
        <f>D2+D3+D4+D5+D6+D7+D8+D9+D10+D11+D12+D13+D14+D15+D16+D17+D18+D19+D20+D21+D22+D23+D24+D25</f>
        <v>-0.51578414796124394</v>
      </c>
    </row>
    <row r="27" spans="1:5" x14ac:dyDescent="0.25">
      <c r="A27" s="4"/>
      <c r="B27" s="4"/>
      <c r="C27" s="3"/>
      <c r="D27" s="7"/>
    </row>
    <row r="28" spans="1:5" x14ac:dyDescent="0.25">
      <c r="C28" s="5"/>
    </row>
    <row r="29" spans="1:5" x14ac:dyDescent="0.25">
      <c r="E29" s="4"/>
    </row>
    <row r="30" spans="1:5" x14ac:dyDescent="0.25">
      <c r="A30" s="29"/>
      <c r="B30" s="29"/>
      <c r="C30" s="4"/>
      <c r="D30" s="4"/>
      <c r="E30" s="17"/>
    </row>
    <row r="31" spans="1:5" x14ac:dyDescent="0.25">
      <c r="A31" s="29"/>
      <c r="B31" s="29"/>
      <c r="C31" s="9"/>
      <c r="D31" s="19"/>
    </row>
    <row r="32" spans="1:5" x14ac:dyDescent="0.25">
      <c r="A32" s="5"/>
      <c r="B32" s="30"/>
      <c r="C32" s="30"/>
      <c r="D32" s="20"/>
      <c r="E32" s="5"/>
    </row>
    <row r="33" spans="1:5" x14ac:dyDescent="0.25">
      <c r="A33" s="18"/>
      <c r="B33" s="29"/>
      <c r="C33" s="29"/>
      <c r="D33" s="25"/>
      <c r="E33" s="21"/>
    </row>
    <row r="34" spans="1:5" x14ac:dyDescent="0.25">
      <c r="A34" s="18"/>
      <c r="B34" s="29"/>
      <c r="C34" s="29"/>
      <c r="D34" s="25"/>
      <c r="E34" s="22"/>
    </row>
    <row r="35" spans="1:5" x14ac:dyDescent="0.25">
      <c r="A35" s="18"/>
      <c r="B35" s="29"/>
      <c r="C35" s="29"/>
      <c r="D35" s="25"/>
      <c r="E35" s="22"/>
    </row>
    <row r="36" spans="1:5" x14ac:dyDescent="0.25">
      <c r="A36" s="18"/>
      <c r="B36" s="29"/>
      <c r="C36" s="29"/>
      <c r="D36" s="25"/>
      <c r="E36" s="22"/>
    </row>
    <row r="37" spans="1:5" x14ac:dyDescent="0.25">
      <c r="A37" s="18"/>
      <c r="B37" s="29"/>
      <c r="C37" s="29"/>
      <c r="D37" s="25"/>
      <c r="E37" s="22"/>
    </row>
    <row r="38" spans="1:5" x14ac:dyDescent="0.25">
      <c r="A38" s="18"/>
      <c r="B38" s="29"/>
      <c r="C38" s="29"/>
      <c r="D38" s="25"/>
      <c r="E38" s="22"/>
    </row>
    <row r="39" spans="1:5" x14ac:dyDescent="0.25">
      <c r="A39" s="18"/>
      <c r="B39" s="29"/>
      <c r="C39" s="29"/>
      <c r="D39" s="25"/>
      <c r="E39" s="22"/>
    </row>
    <row r="40" spans="1:5" x14ac:dyDescent="0.25">
      <c r="A40" s="18"/>
      <c r="B40" s="29"/>
      <c r="C40" s="29"/>
      <c r="D40" s="25"/>
      <c r="E40" s="22"/>
    </row>
    <row r="41" spans="1:5" x14ac:dyDescent="0.25">
      <c r="A41" s="18"/>
      <c r="B41" s="29"/>
      <c r="C41" s="29"/>
      <c r="D41" s="25"/>
      <c r="E41" s="22"/>
    </row>
    <row r="42" spans="1:5" x14ac:dyDescent="0.25">
      <c r="A42" s="18"/>
      <c r="B42" s="29"/>
      <c r="C42" s="29"/>
      <c r="D42" s="25"/>
      <c r="E42" s="22"/>
    </row>
    <row r="43" spans="1:5" x14ac:dyDescent="0.25">
      <c r="A43" s="18"/>
      <c r="B43" s="29"/>
      <c r="C43" s="29"/>
      <c r="D43" s="25"/>
      <c r="E43" s="22"/>
    </row>
    <row r="44" spans="1:5" x14ac:dyDescent="0.25">
      <c r="A44" s="18"/>
      <c r="B44" s="29"/>
      <c r="C44" s="29"/>
      <c r="D44" s="25"/>
      <c r="E44" s="22"/>
    </row>
    <row r="45" spans="1:5" x14ac:dyDescent="0.25">
      <c r="A45" s="18"/>
      <c r="B45" s="29"/>
      <c r="C45" s="29"/>
      <c r="D45" s="25"/>
      <c r="E45" s="22"/>
    </row>
    <row r="46" spans="1:5" x14ac:dyDescent="0.25">
      <c r="A46" s="18"/>
      <c r="B46" s="29"/>
      <c r="C46" s="29"/>
      <c r="D46" s="25"/>
      <c r="E46" s="22"/>
    </row>
  </sheetData>
  <mergeCells count="17">
    <mergeCell ref="B42:C42"/>
    <mergeCell ref="B43:C43"/>
    <mergeCell ref="B44:C44"/>
    <mergeCell ref="B45:C45"/>
    <mergeCell ref="B46:C46"/>
    <mergeCell ref="B41:C41"/>
    <mergeCell ref="A30:B30"/>
    <mergeCell ref="A31:B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2026-08-11T15:51:34Z</dcterms:modified>
</cp:coreProperties>
</file>