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842FC1A9-D9E2-4DA5-ABCF-EE4D934D3B61}" xr6:coauthVersionLast="47" xr6:coauthVersionMax="47" xr10:uidLastSave="{00000000-0000-0000-0000-000000000000}"/>
  <bookViews>
    <workbookView xWindow="-35985" yWindow="30" windowWidth="12495" windowHeight="20685" firstSheet="1" activeTab="5" xr2:uid="{00000000-000D-0000-FFFF-FFFF00000000}"/>
  </bookViews>
  <sheets>
    <sheet name="TLY" sheetId="1" r:id="rId1"/>
    <sheet name="PHE" sheetId="2" r:id="rId2"/>
    <sheet name="DFI" sheetId="4" r:id="rId3"/>
    <sheet name="KHA" sheetId="7" r:id="rId4"/>
    <sheet name="THF" sheetId="8" r:id="rId5"/>
    <sheet name="TMV" sheetId="9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1" i="9" l="1" a="1"/>
  <c r="C21" i="9" s="1"/>
  <c r="D21" i="9" s="1"/>
  <c r="C20" i="9" a="1"/>
  <c r="C20" i="9" s="1"/>
  <c r="D20" i="9" s="1"/>
  <c r="C19" i="9" a="1"/>
  <c r="C19" i="9" s="1"/>
  <c r="D19" i="9" s="1"/>
  <c r="C18" i="9" a="1"/>
  <c r="C18" i="9" s="1"/>
  <c r="D18" i="9" s="1"/>
  <c r="C17" i="9" a="1"/>
  <c r="C17" i="9" s="1"/>
  <c r="D17" i="9" s="1"/>
  <c r="C16" i="9" a="1"/>
  <c r="C16" i="9" s="1"/>
  <c r="D16" i="9" s="1"/>
  <c r="C15" i="9" a="1"/>
  <c r="C15" i="9" s="1"/>
  <c r="D15" i="9" s="1"/>
  <c r="C14" i="9" a="1"/>
  <c r="C14" i="9" s="1"/>
  <c r="D14" i="9" s="1"/>
  <c r="C13" i="9" a="1"/>
  <c r="C13" i="9" s="1"/>
  <c r="D13" i="9" s="1"/>
  <c r="C12" i="9" a="1"/>
  <c r="C12" i="9" s="1"/>
  <c r="D12" i="9" s="1"/>
  <c r="C11" i="9" a="1"/>
  <c r="C11" i="9" s="1"/>
  <c r="D11" i="9" s="1"/>
  <c r="C10" i="9" a="1"/>
  <c r="C10" i="9" s="1"/>
  <c r="D10" i="9" s="1"/>
  <c r="C9" i="9" a="1"/>
  <c r="C9" i="9" s="1"/>
  <c r="D9" i="9" s="1"/>
  <c r="C8" i="9"/>
  <c r="D8" i="9" s="1"/>
  <c r="C8" i="9" a="1"/>
  <c r="C7" i="9" a="1"/>
  <c r="C7" i="9" s="1"/>
  <c r="D7" i="9" s="1"/>
  <c r="C6" i="9" a="1"/>
  <c r="C6" i="9" s="1"/>
  <c r="D6" i="9" s="1"/>
  <c r="C5" i="9" a="1"/>
  <c r="C5" i="9" s="1"/>
  <c r="D5" i="9" s="1"/>
  <c r="C4" i="9" a="1"/>
  <c r="C4" i="9" s="1"/>
  <c r="D4" i="9" s="1"/>
  <c r="C3" i="9" a="1"/>
  <c r="C3" i="9" s="1"/>
  <c r="D3" i="9" s="1"/>
  <c r="C2" i="9" a="1"/>
  <c r="C2" i="9" s="1"/>
  <c r="D2" i="9" s="1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47" i="7"/>
  <c r="D46" i="7"/>
  <c r="D45" i="7"/>
  <c r="D43" i="7"/>
  <c r="D42" i="7"/>
  <c r="D41" i="7"/>
  <c r="D40" i="7"/>
  <c r="D39" i="7"/>
  <c r="D38" i="7"/>
  <c r="D37" i="7"/>
  <c r="D35" i="7"/>
  <c r="D34" i="7"/>
  <c r="D33" i="7"/>
  <c r="D32" i="7"/>
  <c r="D31" i="7"/>
  <c r="D30" i="7"/>
  <c r="D29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4" i="4"/>
  <c r="D3" i="4"/>
  <c r="D2" i="4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44" i="7"/>
  <c r="D36" i="7"/>
  <c r="D28" i="7"/>
  <c r="B23" i="1"/>
  <c r="D22" i="1"/>
  <c r="D21" i="1"/>
  <c r="B27" i="2"/>
  <c r="D26" i="2"/>
  <c r="D25" i="2"/>
  <c r="D24" i="2"/>
  <c r="D23" i="2"/>
  <c r="B10" i="4"/>
  <c r="D9" i="4"/>
  <c r="D8" i="4"/>
  <c r="D7" i="4"/>
  <c r="D6" i="4"/>
  <c r="D5" i="4"/>
  <c r="B50" i="7"/>
  <c r="D49" i="7"/>
  <c r="D48" i="7"/>
  <c r="B35" i="8"/>
  <c r="B22" i="9"/>
  <c r="D23" i="1" l="1"/>
  <c r="D27" i="2"/>
  <c r="D10" i="4"/>
  <c r="D50" i="7"/>
  <c r="D35" i="8"/>
  <c r="D2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<sst xmlns="http://schemas.openxmlformats.org/spreadsheetml/2006/main" count="185" uniqueCount="105">
  <si>
    <t>SEMBOL</t>
  </si>
  <si>
    <t>FON ORANI</t>
  </si>
  <si>
    <t>KAPANIŞ MARJI</t>
  </si>
  <si>
    <t>ETKİ</t>
  </si>
  <si>
    <t>OZATD</t>
  </si>
  <si>
    <t>DSTKF</t>
  </si>
  <si>
    <t>TEHOL</t>
  </si>
  <si>
    <t>PEKGY</t>
  </si>
  <si>
    <t>TERA</t>
  </si>
  <si>
    <t>TRHOL</t>
  </si>
  <si>
    <t>ANELE</t>
  </si>
  <si>
    <t>ALKLC</t>
  </si>
  <si>
    <t>SELEC</t>
  </si>
  <si>
    <t>BIGEN</t>
  </si>
  <si>
    <t>HEDEF</t>
  </si>
  <si>
    <t>KARCL</t>
  </si>
  <si>
    <t>SVGYO</t>
  </si>
  <si>
    <t>EUPWR</t>
  </si>
  <si>
    <t>MANAS</t>
  </si>
  <si>
    <t>SARAE</t>
  </si>
  <si>
    <t>DAPGM</t>
  </si>
  <si>
    <t>TMPOL</t>
  </si>
  <si>
    <t>HMV</t>
  </si>
  <si>
    <t>T3B</t>
  </si>
  <si>
    <t>Toplam</t>
  </si>
  <si>
    <t>ETKİ ORANI</t>
  </si>
  <si>
    <t>ODINE</t>
  </si>
  <si>
    <t>PASEU</t>
  </si>
  <si>
    <t>GUNDG</t>
  </si>
  <si>
    <t>KTLEV</t>
  </si>
  <si>
    <t>AKSEN</t>
  </si>
  <si>
    <t>BALSU</t>
  </si>
  <si>
    <t>TATEN</t>
  </si>
  <si>
    <t>IZFAS</t>
  </si>
  <si>
    <t>IZENR</t>
  </si>
  <si>
    <t>ALVES</t>
  </si>
  <si>
    <t>TURSG</t>
  </si>
  <si>
    <t>TRALT</t>
  </si>
  <si>
    <t>MOPAS</t>
  </si>
  <si>
    <t>PKZ</t>
  </si>
  <si>
    <t>PCS</t>
  </si>
  <si>
    <t>PRY</t>
  </si>
  <si>
    <t>PDG</t>
  </si>
  <si>
    <t>IEYHO</t>
  </si>
  <si>
    <t>ISKPL</t>
  </si>
  <si>
    <t>LIDER</t>
  </si>
  <si>
    <t>ABG</t>
  </si>
  <si>
    <t>PSE</t>
  </si>
  <si>
    <t>BAC</t>
  </si>
  <si>
    <t>KVR</t>
  </si>
  <si>
    <t>PFS</t>
  </si>
  <si>
    <t>GESAN</t>
  </si>
  <si>
    <t>CWENE</t>
  </si>
  <si>
    <t>TCELL</t>
  </si>
  <si>
    <t>PSGYO</t>
  </si>
  <si>
    <t>EREGL</t>
  </si>
  <si>
    <t>THYAO</t>
  </si>
  <si>
    <t>PGSUS</t>
  </si>
  <si>
    <t>AEFES</t>
  </si>
  <si>
    <t>SAHOL</t>
  </si>
  <si>
    <t>KCHOL</t>
  </si>
  <si>
    <t>ARCLK</t>
  </si>
  <si>
    <t>BIMAS</t>
  </si>
  <si>
    <t>ISCTR</t>
  </si>
  <si>
    <t>ULKER</t>
  </si>
  <si>
    <t>AKBNK</t>
  </si>
  <si>
    <t>HALKB</t>
  </si>
  <si>
    <t>KORDS</t>
  </si>
  <si>
    <t>TAVHL</t>
  </si>
  <si>
    <t>ISMEN</t>
  </si>
  <si>
    <t>GARAN</t>
  </si>
  <si>
    <t>PETKM</t>
  </si>
  <si>
    <t>MGROS</t>
  </si>
  <si>
    <t>CCOLA</t>
  </si>
  <si>
    <t>ALARK</t>
  </si>
  <si>
    <t>AGHOL</t>
  </si>
  <si>
    <t>FROTO</t>
  </si>
  <si>
    <t>MAVI</t>
  </si>
  <si>
    <t>ASELS</t>
  </si>
  <si>
    <t>GLRYH</t>
  </si>
  <si>
    <t>BRKO</t>
  </si>
  <si>
    <t>A1CAP</t>
  </si>
  <si>
    <t>BIZIM</t>
  </si>
  <si>
    <t>TOASO</t>
  </si>
  <si>
    <t>PKV</t>
  </si>
  <si>
    <t>PIS</t>
  </si>
  <si>
    <t>GIPTA</t>
  </si>
  <si>
    <t>YKBNK</t>
  </si>
  <si>
    <t>BRSAN</t>
  </si>
  <si>
    <t>ORZAX</t>
  </si>
  <si>
    <t>KGYO</t>
  </si>
  <si>
    <t>NETCD</t>
  </si>
  <si>
    <t>BARMA</t>
  </si>
  <si>
    <t>MCARD</t>
  </si>
  <si>
    <t>GLRMK</t>
  </si>
  <si>
    <t>EGEGY</t>
  </si>
  <si>
    <t>TUPRS</t>
  </si>
  <si>
    <t>TABGD</t>
  </si>
  <si>
    <t>ATATR</t>
  </si>
  <si>
    <t>MOBTL</t>
  </si>
  <si>
    <t>BSOKE</t>
  </si>
  <si>
    <t>RUZYE</t>
  </si>
  <si>
    <t>RNPOL</t>
  </si>
  <si>
    <t xml:space="preserve">MANAS </t>
  </si>
  <si>
    <t>ISVEA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</si>
</sst>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0">
    <xf numFmtId="0" fontId="0" fillId="0" borderId="0" xfId="0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3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ddeLink xmlns:r="http://schemas.openxmlformats.org/officeDocument/2006/relationships" ddeService="MTXIQ" ddeTopic="DATA">
    <ddeItems>
      <ddeItem name="AKSEN.GUNFY" advise="1">
        <values>
          <value>
            <val>-1.0705289672544001</val>
          </value>
        </values>
      </ddeItem>
      <ddeItem name="ALKLC.GUNFY" advise="1">
        <values>
          <value>
            <val>0.29359953024075103</val>
          </value>
        </values>
      </ddeItem>
      <ddeItem name="ANELE.GUNFY" advise="1">
        <values>
          <value>
            <val>1.3123359580052401</val>
          </value>
        </values>
      </ddeItem>
      <ddeItem name="BIGEN.GUNFY" advise="1">
        <values>
          <value>
            <val>1.19695321001088</val>
          </value>
        </values>
      </ddeItem>
      <ddeItem name="DSTKF.GUNFY" advise="1">
        <values>
          <value>
            <val>5.2378664103796204</val>
          </value>
        </values>
      </ddeItem>
      <ddeItem name="EUPWR.GUNFY" advise="1">
        <values>
          <value>
            <val>-9.9902534113060408</val>
          </value>
        </values>
      </ddeItem>
      <ddeItem name="GESAN.GUNFY" advise="1">
        <values>
          <value>
            <val>-9.9891422366992302</val>
          </value>
        </values>
      </ddeItem>
      <ddeItem name="HEDEF.GUNFY" advise="1">
        <values>
          <value>
            <val>-9.9703264094955397</val>
          </value>
        </values>
      </ddeItem>
      <ddeItem name="KORDS.GUNFY" advise="1">
        <values>
          <value>
            <val>-0.35714285714285698</val>
          </value>
        </values>
      </ddeItem>
      <ddeItem name="MANAS.GUNFY" advise="1">
        <values>
          <value>
            <val>2.0543806646525602</val>
          </value>
        </values>
      </ddeItem>
      <ddeItem name="OZATD.GUNFY" advise="1">
        <values>
          <value>
            <val>-0.31023784901758</val>
          </value>
        </values>
      </ddeItem>
      <ddeItem name="PEKGY.GUNFY" advise="1">
        <values>
          <value>
            <val>-9.9682539682539595</val>
          </value>
        </values>
      </ddeItem>
      <ddeItem name="SELEC.GUNFY" advise="1">
        <values>
          <value>
            <val>1.3493253373313301</val>
          </value>
        </values>
      </ddeItem>
      <ddeItem name="StdDocumentName" ole="1" advise="1"/>
      <ddeItem name="SVGYO.GUNFY" advise="1">
        <values>
          <value>
            <val>0.11074197120708699</val>
          </value>
        </values>
      </ddeItem>
      <ddeItem name="TEHOL.GUNFY" advise="1">
        <values>
          <value>
            <val>1.38888888888888</val>
          </value>
        </values>
      </ddeItem>
      <ddeItem name="TERA.GUNFY" advise="1">
        <values>
          <value>
            <val>1.3333333333333299</val>
          </value>
        </values>
      </ddeItem>
      <ddeItem name="TMPOL.GUNFY" advise="1">
        <values>
          <value>
            <val>-8.18128310771041</val>
          </value>
        </values>
      </ddeItem>
      <ddeItem name="TRHOL.GUNFY" advise="1">
        <values>
          <value>
            <val>6.8580542264752697</val>
          </value>
        </values>
      </ddeItem>
      <ddeItem name="TURSG.GUNFY" advise="1">
        <values>
          <value>
            <val>2.17755443886097</val>
          </value>
        </values>
      </ddeItem>
      <ddeItem name="YKBNK.GUNFY" advise="1">
        <values>
          <value>
            <val>0.82146768893756805</val>
          </value>
        </values>
      </ddeItem>
    </ddeItems>
  </ddeLin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B2" sqref="B2:C22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s="2" t="s">
        <v>4</v>
      </c>
      <c r="B2" s="2">
        <v>24.85</v>
      </c>
      <c r="C2" s="1">
        <v>-0.31023784901758</v>
      </c>
      <c r="D2" s="5">
        <f>B2*C2/100</f>
        <v>-7.7094105480868633E-2</v>
      </c>
    </row>
    <row r="3" spans="1:4" x14ac:dyDescent="0.25">
      <c r="A3" s="2" t="s">
        <v>5</v>
      </c>
      <c r="B3" s="2">
        <v>17.55</v>
      </c>
      <c r="C3" s="1">
        <v>5.2378664103796204</v>
      </c>
      <c r="D3" s="5">
        <f>B3*C3/100</f>
        <v>0.91924555502162353</v>
      </c>
    </row>
    <row r="4" spans="1:4" x14ac:dyDescent="0.25">
      <c r="A4" s="2" t="s">
        <v>6</v>
      </c>
      <c r="B4" s="2">
        <v>6.6</v>
      </c>
      <c r="C4" s="1">
        <v>1.38888888888888</v>
      </c>
      <c r="D4" s="5">
        <f t="shared" ref="D4:D22" si="0">B4*C4/100</f>
        <v>9.1666666666666077E-2</v>
      </c>
    </row>
    <row r="5" spans="1:4" x14ac:dyDescent="0.25">
      <c r="A5" s="2" t="s">
        <v>7</v>
      </c>
      <c r="B5" s="2">
        <v>8.93</v>
      </c>
      <c r="C5" s="1">
        <v>-9.9682539682539595</v>
      </c>
      <c r="D5" s="5">
        <f t="shared" si="0"/>
        <v>-0.89016507936507849</v>
      </c>
    </row>
    <row r="6" spans="1:4" x14ac:dyDescent="0.25">
      <c r="A6" s="2" t="s">
        <v>8</v>
      </c>
      <c r="B6" s="2">
        <v>2.91</v>
      </c>
      <c r="C6" s="1">
        <v>1.3333333333333299</v>
      </c>
      <c r="D6" s="5">
        <f t="shared" si="0"/>
        <v>3.8799999999999904E-2</v>
      </c>
    </row>
    <row r="7" spans="1:4" x14ac:dyDescent="0.25">
      <c r="A7" s="2" t="s">
        <v>9</v>
      </c>
      <c r="B7" s="2">
        <v>7.33</v>
      </c>
      <c r="C7" s="1">
        <v>6.8580542264752697</v>
      </c>
      <c r="D7" s="5">
        <f t="shared" si="0"/>
        <v>0.50269537480063731</v>
      </c>
    </row>
    <row r="8" spans="1:4" x14ac:dyDescent="0.25">
      <c r="A8" s="2" t="s">
        <v>10</v>
      </c>
      <c r="B8" s="2">
        <v>4.38</v>
      </c>
      <c r="C8" s="1">
        <v>1.3123359580052401</v>
      </c>
      <c r="D8" s="5">
        <f t="shared" si="0"/>
        <v>5.7480314960629518E-2</v>
      </c>
    </row>
    <row r="9" spans="1:4" x14ac:dyDescent="0.25">
      <c r="A9" s="2" t="s">
        <v>11</v>
      </c>
      <c r="B9" s="2">
        <v>0.51</v>
      </c>
      <c r="C9" s="1">
        <v>0.29359953024075103</v>
      </c>
      <c r="D9" s="5">
        <f t="shared" si="0"/>
        <v>1.4973576042278303E-3</v>
      </c>
    </row>
    <row r="10" spans="1:4" x14ac:dyDescent="0.25">
      <c r="A10" s="2" t="s">
        <v>12</v>
      </c>
      <c r="B10" s="2">
        <v>2.12</v>
      </c>
      <c r="C10" s="1">
        <v>1.3493253373313301</v>
      </c>
      <c r="D10" s="5">
        <f t="shared" si="0"/>
        <v>2.8605697151424199E-2</v>
      </c>
    </row>
    <row r="11" spans="1:4" x14ac:dyDescent="0.25">
      <c r="A11" s="2" t="s">
        <v>13</v>
      </c>
      <c r="B11" s="2">
        <v>2.31</v>
      </c>
      <c r="C11" s="1">
        <v>1.19695321001088</v>
      </c>
      <c r="D11" s="5">
        <f t="shared" si="0"/>
        <v>2.7649619151251324E-2</v>
      </c>
    </row>
    <row r="12" spans="1:4" x14ac:dyDescent="0.25">
      <c r="A12" s="2" t="s">
        <v>14</v>
      </c>
      <c r="B12" s="2">
        <v>0.28000000000000003</v>
      </c>
      <c r="C12" s="1">
        <v>-9.9703264094955397</v>
      </c>
      <c r="D12" s="5">
        <f t="shared" si="0"/>
        <v>-2.7916913946587515E-2</v>
      </c>
    </row>
    <row r="13" spans="1:4" x14ac:dyDescent="0.25">
      <c r="A13" s="2" t="s">
        <v>15</v>
      </c>
      <c r="B13" s="2">
        <v>1.55</v>
      </c>
      <c r="C13" s="1">
        <v>6.2706270627062697</v>
      </c>
      <c r="D13" s="5">
        <f t="shared" si="0"/>
        <v>9.7194719471947175E-2</v>
      </c>
    </row>
    <row r="14" spans="1:4" x14ac:dyDescent="0.25">
      <c r="A14" s="2" t="s">
        <v>16</v>
      </c>
      <c r="B14" s="2">
        <v>0.77</v>
      </c>
      <c r="C14" s="1">
        <v>0.11074197120708699</v>
      </c>
      <c r="D14" s="5">
        <f t="shared" si="0"/>
        <v>8.5271317829456992E-4</v>
      </c>
    </row>
    <row r="15" spans="1:4" x14ac:dyDescent="0.25">
      <c r="A15" s="2" t="s">
        <v>17</v>
      </c>
      <c r="B15" s="2">
        <v>0.31</v>
      </c>
      <c r="C15" s="1">
        <v>-9.9902534113060408</v>
      </c>
      <c r="D15" s="5">
        <f t="shared" si="0"/>
        <v>-3.0969785575048724E-2</v>
      </c>
    </row>
    <row r="16" spans="1:4" x14ac:dyDescent="0.25">
      <c r="A16" s="2" t="s">
        <v>18</v>
      </c>
      <c r="B16" s="2">
        <v>0.14000000000000001</v>
      </c>
      <c r="C16" s="1">
        <v>2.0543806646525602</v>
      </c>
      <c r="D16" s="5">
        <f t="shared" si="0"/>
        <v>2.8761329305135846E-3</v>
      </c>
    </row>
    <row r="17" spans="1:6" x14ac:dyDescent="0.25">
      <c r="A17" s="2" t="s">
        <v>19</v>
      </c>
      <c r="B17" s="2">
        <v>0.12</v>
      </c>
      <c r="C17" s="1">
        <v>-3.3389926428975598</v>
      </c>
      <c r="D17" s="5">
        <f t="shared" si="0"/>
        <v>-4.0067911714770713E-3</v>
      </c>
    </row>
    <row r="18" spans="1:6" x14ac:dyDescent="0.25">
      <c r="A18" s="2" t="s">
        <v>20</v>
      </c>
      <c r="B18" s="2">
        <v>0.04</v>
      </c>
      <c r="C18" s="1">
        <v>-4.3156596794081299</v>
      </c>
      <c r="D18" s="5">
        <f t="shared" si="0"/>
        <v>-1.7262638717632519E-3</v>
      </c>
    </row>
    <row r="19" spans="1:6" x14ac:dyDescent="0.25">
      <c r="A19" s="2" t="s">
        <v>104</v>
      </c>
      <c r="B19" s="2">
        <v>0.32</v>
      </c>
      <c r="C19" s="1">
        <v>-5.9838895281933198</v>
      </c>
      <c r="D19" s="5">
        <f t="shared" si="0"/>
        <v>-1.9148446490218626E-2</v>
      </c>
    </row>
    <row r="20" spans="1:6" x14ac:dyDescent="0.25">
      <c r="A20" s="2" t="s">
        <v>21</v>
      </c>
      <c r="B20" s="2">
        <v>0.16</v>
      </c>
      <c r="C20" s="1">
        <v>-8.18128310771041</v>
      </c>
      <c r="D20" s="5">
        <f t="shared" si="0"/>
        <v>-1.3090052972336657E-2</v>
      </c>
    </row>
    <row r="21" spans="1:6" x14ac:dyDescent="0.25">
      <c r="A21" s="2" t="s">
        <v>22</v>
      </c>
      <c r="B21" s="2">
        <v>4.26</v>
      </c>
      <c r="C21" s="1">
        <v>1.72</v>
      </c>
      <c r="D21" s="5">
        <f t="shared" si="0"/>
        <v>7.327199999999999E-2</v>
      </c>
    </row>
    <row r="22" spans="1:6" x14ac:dyDescent="0.25">
      <c r="A22" s="2" t="s">
        <v>23</v>
      </c>
      <c r="B22" s="2">
        <v>0.01</v>
      </c>
      <c r="C22" s="1">
        <v>2.64</v>
      </c>
      <c r="D22" s="5">
        <f t="shared" si="0"/>
        <v>2.6400000000000002E-4</v>
      </c>
    </row>
    <row r="23" spans="1:6" x14ac:dyDescent="0.25">
      <c r="A23" s="3" t="s">
        <v>24</v>
      </c>
      <c r="B23" s="3">
        <f>B2+B3+B4+B5+B6+B7+B8+B9+B10+B11+B12+B14+B15+B16+B17+B18+B20+B21+B22+B13+B19</f>
        <v>85.450000000000017</v>
      </c>
      <c r="C23" s="3"/>
      <c r="D23" s="4">
        <f>D2+D3+D4+D5+D6+D7+D8+D9+D10+D11+D12+D14+D15+D16+D17+D18+D20+D21+D22+D13+D19</f>
        <v>0.7779827120638364</v>
      </c>
    </row>
    <row r="24" spans="1:6" x14ac:dyDescent="0.25">
      <c r="A24" s="3"/>
      <c r="B24" s="3"/>
      <c r="C24" s="3"/>
      <c r="D24" s="4"/>
    </row>
    <row r="25" spans="1:6" x14ac:dyDescent="0.25">
      <c r="A25" s="12"/>
      <c r="B25" s="3"/>
      <c r="C25" s="3"/>
      <c r="D25" s="4"/>
    </row>
    <row r="27" spans="1:6" x14ac:dyDescent="0.25">
      <c r="C27" s="3"/>
    </row>
    <row r="28" spans="1:6" x14ac:dyDescent="0.25">
      <c r="C28" s="2"/>
      <c r="D28" s="2"/>
      <c r="E28" s="2"/>
    </row>
    <row r="29" spans="1:6" x14ac:dyDescent="0.25">
      <c r="A29" s="28"/>
      <c r="B29" s="28"/>
      <c r="C29" s="2"/>
      <c r="D29" s="2"/>
      <c r="E29" s="13"/>
    </row>
    <row r="30" spans="1:6" x14ac:dyDescent="0.25">
      <c r="A30" s="28"/>
      <c r="B30" s="28"/>
      <c r="C30" s="7"/>
      <c r="D30" s="15"/>
    </row>
    <row r="31" spans="1:6" x14ac:dyDescent="0.25">
      <c r="A31" s="3"/>
      <c r="B31" s="29"/>
      <c r="C31" s="29"/>
      <c r="D31" s="16"/>
      <c r="E31" s="3"/>
      <c r="F31" s="3"/>
    </row>
    <row r="32" spans="1:6" x14ac:dyDescent="0.25">
      <c r="A32" s="14"/>
      <c r="B32" s="28"/>
      <c r="C32" s="28"/>
      <c r="D32" s="21"/>
      <c r="E32" s="17"/>
      <c r="F32" s="20"/>
    </row>
    <row r="33" spans="1:6" x14ac:dyDescent="0.25">
      <c r="A33" s="14"/>
      <c r="B33" s="28"/>
      <c r="C33" s="28"/>
      <c r="D33" s="21"/>
      <c r="E33" s="18"/>
      <c r="F33" s="20"/>
    </row>
    <row r="34" spans="1:6" x14ac:dyDescent="0.25">
      <c r="A34" s="14"/>
      <c r="B34" s="28"/>
      <c r="C34" s="28"/>
      <c r="D34" s="21"/>
      <c r="E34" s="18"/>
      <c r="F34" s="20"/>
    </row>
    <row r="35" spans="1:6" x14ac:dyDescent="0.25">
      <c r="A35" s="14"/>
      <c r="B35" s="28"/>
      <c r="C35" s="28"/>
      <c r="D35" s="21"/>
      <c r="E35" s="18"/>
      <c r="F35" s="20"/>
    </row>
    <row r="36" spans="1:6" x14ac:dyDescent="0.25">
      <c r="A36" s="14"/>
      <c r="B36" s="28"/>
      <c r="C36" s="28"/>
      <c r="D36" s="21"/>
      <c r="E36" s="18"/>
      <c r="F36" s="20"/>
    </row>
    <row r="37" spans="1:6" x14ac:dyDescent="0.25">
      <c r="A37" s="14"/>
      <c r="B37" s="28"/>
      <c r="C37" s="28"/>
      <c r="D37" s="21"/>
      <c r="E37" s="18"/>
      <c r="F37" s="20"/>
    </row>
    <row r="38" spans="1:6" x14ac:dyDescent="0.25">
      <c r="A38" s="14"/>
      <c r="B38" s="28"/>
      <c r="C38" s="28"/>
      <c r="D38" s="21"/>
      <c r="E38" s="18"/>
      <c r="F38" s="20"/>
    </row>
    <row r="39" spans="1:6" x14ac:dyDescent="0.25">
      <c r="A39" s="14"/>
      <c r="B39" s="28"/>
      <c r="C39" s="28"/>
      <c r="D39" s="21"/>
      <c r="E39" s="18"/>
      <c r="F39" s="20"/>
    </row>
    <row r="40" spans="1:6" x14ac:dyDescent="0.25">
      <c r="A40" s="14"/>
      <c r="B40" s="28"/>
      <c r="C40" s="28"/>
      <c r="D40" s="21"/>
      <c r="E40" s="18"/>
      <c r="F40" s="20"/>
    </row>
    <row r="41" spans="1:6" x14ac:dyDescent="0.25">
      <c r="A41" s="14"/>
      <c r="B41" s="28"/>
      <c r="C41" s="28"/>
      <c r="D41" s="21"/>
      <c r="E41" s="18"/>
      <c r="F41" s="20"/>
    </row>
    <row r="42" spans="1:6" x14ac:dyDescent="0.25">
      <c r="A42" s="14"/>
      <c r="B42" s="28"/>
      <c r="C42" s="28"/>
      <c r="D42" s="21"/>
      <c r="E42" s="18"/>
      <c r="F42" s="20"/>
    </row>
    <row r="43" spans="1:6" x14ac:dyDescent="0.25">
      <c r="A43" s="14"/>
      <c r="B43" s="28"/>
      <c r="C43" s="28"/>
      <c r="D43" s="21"/>
      <c r="E43" s="18"/>
      <c r="F43" s="20"/>
    </row>
    <row r="44" spans="1:6" x14ac:dyDescent="0.25">
      <c r="A44" s="14"/>
      <c r="B44" s="28"/>
      <c r="C44" s="28"/>
      <c r="D44" s="21"/>
      <c r="E44" s="18"/>
      <c r="F44" s="20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1"/>
  <sheetViews>
    <sheetView workbookViewId="0">
      <selection activeCell="B2" sqref="B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5" t="s">
        <v>0</v>
      </c>
      <c r="B1" s="25" t="s">
        <v>25</v>
      </c>
      <c r="C1" s="26" t="s">
        <v>2</v>
      </c>
      <c r="D1" s="26" t="s">
        <v>3</v>
      </c>
    </row>
    <row r="2" spans="1:4" x14ac:dyDescent="0.25">
      <c r="A2" s="2" t="s">
        <v>26</v>
      </c>
      <c r="B2" s="2">
        <v>12.08</v>
      </c>
      <c r="C2" s="23">
        <v>-9.9850968703427707</v>
      </c>
      <c r="D2" s="2">
        <f>B2*C2/100</f>
        <v>-1.2061997019374067</v>
      </c>
    </row>
    <row r="3" spans="1:4" x14ac:dyDescent="0.25">
      <c r="A3" s="2" t="s">
        <v>27</v>
      </c>
      <c r="B3" s="2">
        <v>7.68</v>
      </c>
      <c r="C3" s="23">
        <v>-9.99170812603648</v>
      </c>
      <c r="D3" s="2">
        <f t="shared" ref="D3:D26" si="0">B3*C3/100</f>
        <v>-0.76736318407960169</v>
      </c>
    </row>
    <row r="4" spans="1:4" x14ac:dyDescent="0.25">
      <c r="A4" s="2" t="s">
        <v>28</v>
      </c>
      <c r="B4" s="2">
        <v>24</v>
      </c>
      <c r="C4" s="23">
        <v>-9.9639855942376894</v>
      </c>
      <c r="D4" s="2">
        <f t="shared" si="0"/>
        <v>-2.3913565426170451</v>
      </c>
    </row>
    <row r="5" spans="1:4" x14ac:dyDescent="0.25">
      <c r="A5" s="2" t="s">
        <v>29</v>
      </c>
      <c r="B5" s="2">
        <v>12.31</v>
      </c>
      <c r="C5" s="23">
        <v>-9.9522292993630508</v>
      </c>
      <c r="D5" s="2">
        <f t="shared" si="0"/>
        <v>-1.2251194267515917</v>
      </c>
    </row>
    <row r="6" spans="1:4" x14ac:dyDescent="0.25">
      <c r="A6" s="2" t="s">
        <v>14</v>
      </c>
      <c r="B6" s="2">
        <v>4.0199999999999996</v>
      </c>
      <c r="C6" s="23">
        <v>-9.9703264094955397</v>
      </c>
      <c r="D6" s="2">
        <f t="shared" si="0"/>
        <v>-0.40080712166172061</v>
      </c>
    </row>
    <row r="7" spans="1:4" x14ac:dyDescent="0.25">
      <c r="A7" s="2" t="s">
        <v>5</v>
      </c>
      <c r="B7" s="2">
        <v>4.49</v>
      </c>
      <c r="C7" s="23">
        <v>5.2378664103796204</v>
      </c>
      <c r="D7" s="2">
        <f t="shared" si="0"/>
        <v>0.23518020182604499</v>
      </c>
    </row>
    <row r="8" spans="1:4" x14ac:dyDescent="0.25">
      <c r="A8" s="2" t="s">
        <v>30</v>
      </c>
      <c r="B8" s="2">
        <v>5.63</v>
      </c>
      <c r="C8" s="23">
        <v>-1.0705289672544001</v>
      </c>
      <c r="D8" s="2">
        <f t="shared" si="0"/>
        <v>-6.027078085642272E-2</v>
      </c>
    </row>
    <row r="9" spans="1:4" x14ac:dyDescent="0.25">
      <c r="A9" s="2" t="s">
        <v>31</v>
      </c>
      <c r="B9" s="2">
        <v>2.82</v>
      </c>
      <c r="C9" s="23">
        <v>-3.4205231388329902</v>
      </c>
      <c r="D9" s="2">
        <f t="shared" si="0"/>
        <v>-9.6458752515090326E-2</v>
      </c>
    </row>
    <row r="10" spans="1:4" x14ac:dyDescent="0.25">
      <c r="A10" s="2" t="s">
        <v>10</v>
      </c>
      <c r="B10" s="2">
        <v>2.75</v>
      </c>
      <c r="C10" s="23">
        <v>1.3123359580052401</v>
      </c>
      <c r="D10" s="2">
        <f t="shared" si="0"/>
        <v>3.6089238845144103E-2</v>
      </c>
    </row>
    <row r="11" spans="1:4" x14ac:dyDescent="0.25">
      <c r="A11" s="2" t="s">
        <v>32</v>
      </c>
      <c r="B11" s="2">
        <v>1.89</v>
      </c>
      <c r="C11" s="23">
        <v>-1.187648456057</v>
      </c>
      <c r="D11" s="2">
        <f t="shared" si="0"/>
        <v>-2.2446555819477298E-2</v>
      </c>
    </row>
    <row r="12" spans="1:4" x14ac:dyDescent="0.25">
      <c r="A12" s="2" t="s">
        <v>33</v>
      </c>
      <c r="B12" s="2">
        <v>1.1100000000000001</v>
      </c>
      <c r="C12" s="23">
        <v>-5.9024807527801499</v>
      </c>
      <c r="D12" s="2">
        <f t="shared" si="0"/>
        <v>-6.5517536355859662E-2</v>
      </c>
    </row>
    <row r="13" spans="1:4" x14ac:dyDescent="0.25">
      <c r="A13" s="2" t="s">
        <v>21</v>
      </c>
      <c r="B13" s="2">
        <v>2.25</v>
      </c>
      <c r="C13" s="23">
        <v>-8.18128310771041</v>
      </c>
      <c r="D13" s="2">
        <f t="shared" si="0"/>
        <v>-0.18407886992348424</v>
      </c>
    </row>
    <row r="14" spans="1:4" x14ac:dyDescent="0.25">
      <c r="A14" s="2" t="s">
        <v>7</v>
      </c>
      <c r="B14" s="2">
        <v>1.89</v>
      </c>
      <c r="C14" s="23">
        <v>-9.9682539682539595</v>
      </c>
      <c r="D14" s="2">
        <f t="shared" si="0"/>
        <v>-0.18839999999999982</v>
      </c>
    </row>
    <row r="15" spans="1:4" x14ac:dyDescent="0.25">
      <c r="A15" s="2" t="s">
        <v>11</v>
      </c>
      <c r="B15" s="2">
        <v>0.66</v>
      </c>
      <c r="C15" s="23">
        <v>0.29359953024075103</v>
      </c>
      <c r="D15" s="2">
        <f t="shared" si="0"/>
        <v>1.9377568995889568E-3</v>
      </c>
    </row>
    <row r="16" spans="1:4" x14ac:dyDescent="0.25">
      <c r="A16" s="2" t="s">
        <v>20</v>
      </c>
      <c r="B16" s="2">
        <v>0.99</v>
      </c>
      <c r="C16" s="23">
        <v>-4.3156596794081299</v>
      </c>
      <c r="D16" s="2">
        <f t="shared" si="0"/>
        <v>-4.2725030826140487E-2</v>
      </c>
    </row>
    <row r="17" spans="1:4" x14ac:dyDescent="0.25">
      <c r="A17" s="2" t="s">
        <v>34</v>
      </c>
      <c r="B17" s="2">
        <v>0.38</v>
      </c>
      <c r="C17" s="23">
        <v>-6.3157894736842097</v>
      </c>
      <c r="D17" s="2">
        <f t="shared" si="0"/>
        <v>-2.4E-2</v>
      </c>
    </row>
    <row r="18" spans="1:4" x14ac:dyDescent="0.25">
      <c r="A18" s="2" t="s">
        <v>35</v>
      </c>
      <c r="B18" s="2">
        <v>0.13</v>
      </c>
      <c r="C18" s="23">
        <v>-4.1666666666666599</v>
      </c>
      <c r="D18" s="2">
        <f t="shared" si="0"/>
        <v>-5.4166666666666582E-3</v>
      </c>
    </row>
    <row r="19" spans="1:4" x14ac:dyDescent="0.25">
      <c r="A19" s="2" t="s">
        <v>9</v>
      </c>
      <c r="B19" s="2">
        <v>1.64</v>
      </c>
      <c r="C19" s="23">
        <v>6.8580542264752697</v>
      </c>
      <c r="D19" s="2">
        <f t="shared" si="0"/>
        <v>0.11247208931419442</v>
      </c>
    </row>
    <row r="20" spans="1:4" x14ac:dyDescent="0.25">
      <c r="A20" s="2" t="s">
        <v>36</v>
      </c>
      <c r="B20" s="2">
        <v>7.0000000000000007E-2</v>
      </c>
      <c r="C20" s="23">
        <v>2.17755443886097</v>
      </c>
      <c r="D20" s="2">
        <f t="shared" si="0"/>
        <v>1.5242881072026792E-3</v>
      </c>
    </row>
    <row r="21" spans="1:4" x14ac:dyDescent="0.25">
      <c r="A21" s="2" t="s">
        <v>37</v>
      </c>
      <c r="B21" s="2">
        <v>0.04</v>
      </c>
      <c r="C21" s="23">
        <v>-6.6918714555765604</v>
      </c>
      <c r="D21" s="2">
        <f t="shared" si="0"/>
        <v>-2.676748582230624E-3</v>
      </c>
    </row>
    <row r="22" spans="1:4" x14ac:dyDescent="0.25">
      <c r="A22" s="2" t="s">
        <v>38</v>
      </c>
      <c r="B22" s="2">
        <v>7.0000000000000007E-2</v>
      </c>
      <c r="C22" s="23">
        <v>7.7339520494972905E-2</v>
      </c>
      <c r="D22" s="2">
        <f t="shared" si="0"/>
        <v>5.4137664346481033E-5</v>
      </c>
    </row>
    <row r="23" spans="1:4" x14ac:dyDescent="0.25">
      <c r="A23" s="2" t="s">
        <v>39</v>
      </c>
      <c r="B23" s="2">
        <v>10.79</v>
      </c>
      <c r="C23" s="23">
        <v>-9.2799999999999994</v>
      </c>
      <c r="D23" s="2">
        <f t="shared" si="0"/>
        <v>-1.0013119999999998</v>
      </c>
    </row>
    <row r="24" spans="1:4" x14ac:dyDescent="0.25">
      <c r="A24" s="2" t="s">
        <v>40</v>
      </c>
      <c r="B24" s="2">
        <v>9.2100000000000009</v>
      </c>
      <c r="C24" s="23">
        <v>-9.6999999999999993</v>
      </c>
      <c r="D24" s="2">
        <f t="shared" si="0"/>
        <v>-0.89337</v>
      </c>
    </row>
    <row r="25" spans="1:4" x14ac:dyDescent="0.25">
      <c r="A25" s="2" t="s">
        <v>41</v>
      </c>
      <c r="B25" s="2">
        <v>1.66</v>
      </c>
      <c r="C25" s="1">
        <v>0.14000000000000001</v>
      </c>
      <c r="D25" s="2">
        <f t="shared" si="0"/>
        <v>2.3240000000000001E-3</v>
      </c>
    </row>
    <row r="26" spans="1:4" x14ac:dyDescent="0.25">
      <c r="A26" s="2" t="s">
        <v>42</v>
      </c>
      <c r="B26" s="2">
        <v>0.02</v>
      </c>
      <c r="C26" s="1">
        <v>-6.38</v>
      </c>
      <c r="D26" s="2">
        <f t="shared" si="0"/>
        <v>-1.276E-3</v>
      </c>
    </row>
    <row r="27" spans="1:4" x14ac:dyDescent="0.25">
      <c r="A27" s="10" t="s">
        <v>24</v>
      </c>
      <c r="B27" s="3">
        <f>SUM(B2:B26)</f>
        <v>108.57999999999997</v>
      </c>
      <c r="D27" s="4">
        <f>SUM(D2:D26)</f>
        <v>-8.1892132059362179</v>
      </c>
    </row>
    <row r="28" spans="1:4" x14ac:dyDescent="0.25">
      <c r="A28" s="2"/>
      <c r="B28" s="2"/>
      <c r="C28" s="6"/>
      <c r="D28" s="2"/>
    </row>
    <row r="29" spans="1:4" x14ac:dyDescent="0.25">
      <c r="A29" s="2"/>
      <c r="B29" s="2"/>
      <c r="C29" s="6"/>
      <c r="D29" s="2"/>
    </row>
    <row r="30" spans="1:4" x14ac:dyDescent="0.25">
      <c r="A30" s="2"/>
      <c r="B30" s="2"/>
      <c r="C30" s="6"/>
      <c r="D30" s="2"/>
    </row>
    <row r="31" spans="1:4" x14ac:dyDescent="0.25">
      <c r="A31" s="2"/>
      <c r="B31" s="2"/>
      <c r="C31" s="6"/>
      <c r="D31" s="2"/>
    </row>
    <row r="32" spans="1:4" x14ac:dyDescent="0.25">
      <c r="A32" s="2"/>
      <c r="B32" s="2"/>
      <c r="C32" s="6"/>
      <c r="D32" s="2"/>
    </row>
    <row r="33" spans="1:5" x14ac:dyDescent="0.25">
      <c r="A33" s="2"/>
      <c r="B33" s="9"/>
      <c r="C33" s="11"/>
      <c r="D33" s="2"/>
    </row>
    <row r="34" spans="1:5" x14ac:dyDescent="0.25">
      <c r="A34" s="2"/>
      <c r="B34" s="2"/>
      <c r="C34" s="6"/>
      <c r="D34" s="2"/>
    </row>
    <row r="35" spans="1:5" x14ac:dyDescent="0.25">
      <c r="A35" s="2"/>
      <c r="B35" s="2"/>
      <c r="C35" s="6"/>
      <c r="D35" s="2"/>
    </row>
    <row r="36" spans="1:5" x14ac:dyDescent="0.25">
      <c r="A36" s="2"/>
      <c r="B36" s="2"/>
      <c r="C36" s="6"/>
      <c r="D36" s="2"/>
    </row>
    <row r="37" spans="1:5" x14ac:dyDescent="0.25">
      <c r="A37" s="2"/>
      <c r="B37" s="2"/>
      <c r="C37" s="6"/>
      <c r="D37" s="2"/>
    </row>
    <row r="38" spans="1:5" x14ac:dyDescent="0.25">
      <c r="A38" s="2"/>
      <c r="B38" s="2"/>
      <c r="C38" s="6"/>
      <c r="D38" s="2"/>
    </row>
    <row r="39" spans="1:5" x14ac:dyDescent="0.25">
      <c r="A39" s="2"/>
      <c r="B39" s="2"/>
      <c r="C39" s="6"/>
      <c r="D39" s="2"/>
    </row>
    <row r="40" spans="1:5" x14ac:dyDescent="0.25">
      <c r="A40" s="2"/>
      <c r="B40" s="2"/>
      <c r="C40" s="6"/>
      <c r="D40" s="2"/>
    </row>
    <row r="41" spans="1:5" x14ac:dyDescent="0.25">
      <c r="A41" s="2"/>
      <c r="B41" s="2"/>
      <c r="C41" s="2"/>
      <c r="D41" s="2"/>
    </row>
    <row r="42" spans="1:5" x14ac:dyDescent="0.25">
      <c r="A42" s="2"/>
      <c r="B42" s="2"/>
      <c r="C42" s="2"/>
      <c r="D42" s="2"/>
    </row>
    <row r="43" spans="1:5" x14ac:dyDescent="0.25">
      <c r="A43" s="2"/>
      <c r="B43" s="2"/>
      <c r="C43" s="2"/>
      <c r="D43" s="2"/>
    </row>
    <row r="44" spans="1:5" x14ac:dyDescent="0.25">
      <c r="A44" s="10"/>
      <c r="B44" s="3"/>
      <c r="D44" s="4"/>
    </row>
    <row r="47" spans="1:5" x14ac:dyDescent="0.25">
      <c r="C47" s="3"/>
    </row>
    <row r="48" spans="1:5" x14ac:dyDescent="0.25">
      <c r="C48" s="2"/>
      <c r="D48" s="2"/>
      <c r="E48" s="2"/>
    </row>
    <row r="49" spans="1:6" x14ac:dyDescent="0.25">
      <c r="A49" s="28"/>
      <c r="B49" s="28"/>
      <c r="C49" s="2"/>
      <c r="D49" s="2"/>
      <c r="E49" s="13"/>
    </row>
    <row r="50" spans="1:6" x14ac:dyDescent="0.25">
      <c r="A50" s="28"/>
      <c r="B50" s="28"/>
      <c r="C50" s="7"/>
      <c r="D50" s="7"/>
    </row>
    <row r="55" spans="1:6" x14ac:dyDescent="0.25">
      <c r="A55" s="3"/>
      <c r="B55" s="29"/>
      <c r="C55" s="29"/>
      <c r="D55" s="16"/>
      <c r="E55" s="3"/>
      <c r="F55" s="3"/>
    </row>
    <row r="56" spans="1:6" x14ac:dyDescent="0.25">
      <c r="A56" s="14"/>
      <c r="B56" s="28"/>
      <c r="C56" s="28"/>
      <c r="D56" s="17"/>
      <c r="E56" s="17"/>
      <c r="F56" s="20"/>
    </row>
    <row r="57" spans="1:6" x14ac:dyDescent="0.25">
      <c r="A57" s="14"/>
      <c r="B57" s="28"/>
      <c r="C57" s="28"/>
      <c r="D57" s="17"/>
      <c r="E57" s="17"/>
      <c r="F57" s="20"/>
    </row>
    <row r="58" spans="1:6" x14ac:dyDescent="0.25">
      <c r="A58" s="14"/>
      <c r="B58" s="28"/>
      <c r="C58" s="28"/>
      <c r="D58" s="17"/>
      <c r="E58" s="17"/>
      <c r="F58" s="20"/>
    </row>
    <row r="59" spans="1:6" x14ac:dyDescent="0.25">
      <c r="A59" s="14"/>
      <c r="B59" s="28"/>
      <c r="C59" s="28"/>
      <c r="D59" s="17"/>
      <c r="E59" s="17"/>
      <c r="F59" s="20"/>
    </row>
    <row r="60" spans="1:6" x14ac:dyDescent="0.25">
      <c r="A60" s="14"/>
      <c r="B60" s="28"/>
      <c r="C60" s="28"/>
      <c r="D60" s="17"/>
      <c r="E60" s="17"/>
      <c r="F60" s="20"/>
    </row>
    <row r="61" spans="1:6" x14ac:dyDescent="0.25">
      <c r="A61" s="14"/>
      <c r="B61" s="28"/>
      <c r="C61" s="28"/>
      <c r="D61" s="17"/>
      <c r="E61" s="17"/>
      <c r="F61" s="20"/>
    </row>
    <row r="62" spans="1:6" x14ac:dyDescent="0.25">
      <c r="A62" s="14"/>
      <c r="B62" s="28"/>
      <c r="C62" s="28"/>
      <c r="D62" s="17"/>
      <c r="E62" s="17"/>
      <c r="F62" s="20"/>
    </row>
    <row r="63" spans="1:6" x14ac:dyDescent="0.25">
      <c r="A63" s="14"/>
      <c r="B63" s="28"/>
      <c r="C63" s="28"/>
      <c r="D63" s="17"/>
      <c r="E63" s="17"/>
      <c r="F63" s="20"/>
    </row>
    <row r="64" spans="1:6" x14ac:dyDescent="0.25">
      <c r="A64" s="14"/>
      <c r="B64" s="28"/>
      <c r="C64" s="28"/>
      <c r="D64" s="17"/>
      <c r="E64" s="17"/>
      <c r="F64" s="20"/>
    </row>
    <row r="65" spans="1:6" x14ac:dyDescent="0.25">
      <c r="A65" s="14"/>
      <c r="B65" s="28"/>
      <c r="C65" s="28"/>
      <c r="D65" s="17"/>
      <c r="E65" s="17"/>
      <c r="F65" s="20"/>
    </row>
    <row r="66" spans="1:6" x14ac:dyDescent="0.25">
      <c r="A66" s="14"/>
      <c r="B66" s="28"/>
      <c r="C66" s="28"/>
      <c r="D66" s="17"/>
      <c r="E66" s="17"/>
      <c r="F66" s="20"/>
    </row>
    <row r="67" spans="1:6" x14ac:dyDescent="0.25">
      <c r="A67" s="14"/>
      <c r="B67" s="28"/>
      <c r="C67" s="28"/>
      <c r="D67" s="17"/>
      <c r="E67" s="17"/>
      <c r="F67" s="20"/>
    </row>
    <row r="68" spans="1:6" x14ac:dyDescent="0.25">
      <c r="A68" s="14"/>
      <c r="B68" s="28"/>
      <c r="C68" s="28"/>
      <c r="D68" s="17"/>
      <c r="E68" s="17"/>
      <c r="F68" s="20"/>
    </row>
    <row r="69" spans="1:6" x14ac:dyDescent="0.25">
      <c r="A69" s="14"/>
      <c r="B69" s="28"/>
      <c r="C69" s="28"/>
      <c r="D69" s="15"/>
      <c r="E69" s="18"/>
      <c r="F69" s="20"/>
    </row>
    <row r="70" spans="1:6" x14ac:dyDescent="0.25">
      <c r="A70" s="14"/>
      <c r="B70" s="28"/>
      <c r="C70" s="28"/>
      <c r="D70" s="15"/>
      <c r="E70" s="18"/>
      <c r="F70" s="20"/>
    </row>
    <row r="71" spans="1:6" x14ac:dyDescent="0.25">
      <c r="A71" s="14"/>
      <c r="B71" s="28"/>
      <c r="C71" s="28"/>
      <c r="D71" s="15"/>
      <c r="E71" s="18"/>
      <c r="F71" s="20"/>
    </row>
    <row r="72" spans="1:6" x14ac:dyDescent="0.25">
      <c r="A72" s="14"/>
      <c r="B72" s="28"/>
      <c r="C72" s="28"/>
      <c r="D72" s="15"/>
      <c r="E72" s="18"/>
      <c r="F72" s="20"/>
    </row>
    <row r="73" spans="1:6" x14ac:dyDescent="0.25">
      <c r="A73" s="14"/>
      <c r="B73" s="28"/>
      <c r="C73" s="28"/>
      <c r="D73" s="15"/>
      <c r="E73" s="18"/>
      <c r="F73" s="20"/>
    </row>
    <row r="74" spans="1:6" x14ac:dyDescent="0.25">
      <c r="A74" s="14"/>
      <c r="B74" s="28"/>
      <c r="C74" s="28"/>
      <c r="D74" s="15"/>
      <c r="E74" s="18"/>
      <c r="F74" s="20"/>
    </row>
    <row r="75" spans="1:6" x14ac:dyDescent="0.25">
      <c r="A75" s="14"/>
      <c r="B75" s="28"/>
      <c r="C75" s="28"/>
      <c r="D75" s="15"/>
      <c r="E75" s="18"/>
      <c r="F75" s="20"/>
    </row>
    <row r="76" spans="1:6" x14ac:dyDescent="0.25">
      <c r="A76" s="14"/>
      <c r="B76" s="28"/>
      <c r="C76" s="28"/>
      <c r="D76" s="15"/>
      <c r="E76" s="18"/>
      <c r="F76" s="20"/>
    </row>
    <row r="77" spans="1:6" x14ac:dyDescent="0.25">
      <c r="A77" s="14"/>
      <c r="B77" s="28"/>
      <c r="C77" s="28"/>
      <c r="D77" s="15"/>
      <c r="E77" s="18"/>
      <c r="F77" s="20"/>
    </row>
    <row r="78" spans="1:6" x14ac:dyDescent="0.25">
      <c r="A78" s="14"/>
      <c r="B78" s="28"/>
      <c r="C78" s="28"/>
      <c r="D78" s="15"/>
      <c r="E78" s="18"/>
      <c r="F78" s="20"/>
    </row>
    <row r="79" spans="1:6" x14ac:dyDescent="0.25">
      <c r="A79" s="14"/>
      <c r="B79" s="28"/>
      <c r="C79" s="28"/>
      <c r="D79" s="15"/>
      <c r="E79" s="18"/>
      <c r="F79" s="20"/>
    </row>
    <row r="80" spans="1:6" x14ac:dyDescent="0.25">
      <c r="A80" s="14"/>
      <c r="B80" s="28"/>
      <c r="C80" s="28"/>
      <c r="D80" s="15"/>
      <c r="E80" s="18"/>
      <c r="F80" s="20"/>
    </row>
    <row r="81" spans="1:6" x14ac:dyDescent="0.25">
      <c r="A81" s="14"/>
      <c r="B81" s="28"/>
      <c r="C81" s="28"/>
      <c r="D81" s="15"/>
      <c r="E81" s="18"/>
      <c r="F81" s="20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1"/>
  <sheetViews>
    <sheetView workbookViewId="0">
      <selection activeCell="B2" sqref="B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5" x14ac:dyDescent="0.25">
      <c r="A2" s="2" t="s">
        <v>43</v>
      </c>
      <c r="B2" s="2">
        <v>51</v>
      </c>
      <c r="C2" s="6">
        <v>0.43352601156069298</v>
      </c>
      <c r="D2" s="24">
        <f>B2*C2/100</f>
        <v>0.22109826589595344</v>
      </c>
    </row>
    <row r="3" spans="1:5" x14ac:dyDescent="0.25">
      <c r="A3" s="2" t="s">
        <v>44</v>
      </c>
      <c r="B3" s="2">
        <v>3.03</v>
      </c>
      <c r="C3" s="6">
        <v>-0.854700854700854</v>
      </c>
      <c r="D3" s="24">
        <f t="shared" ref="D3:D9" si="0">B3*C3/100</f>
        <v>-2.5897435897435876E-2</v>
      </c>
    </row>
    <row r="4" spans="1:5" x14ac:dyDescent="0.25">
      <c r="A4" s="2" t="s">
        <v>45</v>
      </c>
      <c r="B4" s="2">
        <v>0.25</v>
      </c>
      <c r="C4" s="6">
        <v>-3.9950829748002401</v>
      </c>
      <c r="D4" s="24">
        <f t="shared" si="0"/>
        <v>-9.9877074370006008E-3</v>
      </c>
    </row>
    <row r="5" spans="1:5" x14ac:dyDescent="0.25">
      <c r="A5" s="2" t="s">
        <v>46</v>
      </c>
      <c r="B5" s="2">
        <v>28.55</v>
      </c>
      <c r="C5" s="2">
        <v>5.9</v>
      </c>
      <c r="D5" s="24">
        <f t="shared" si="0"/>
        <v>1.6844500000000002</v>
      </c>
    </row>
    <row r="6" spans="1:5" x14ac:dyDescent="0.25">
      <c r="A6" s="2" t="s">
        <v>47</v>
      </c>
      <c r="B6" s="2">
        <v>5.29</v>
      </c>
      <c r="C6" s="2">
        <v>0.12</v>
      </c>
      <c r="D6" s="24">
        <f t="shared" si="0"/>
        <v>6.3480000000000003E-3</v>
      </c>
    </row>
    <row r="7" spans="1:5" x14ac:dyDescent="0.25">
      <c r="A7" s="2" t="s">
        <v>48</v>
      </c>
      <c r="B7" s="2">
        <v>0.26</v>
      </c>
      <c r="C7" s="2">
        <v>1.61</v>
      </c>
      <c r="D7" s="24">
        <f t="shared" si="0"/>
        <v>4.1860000000000005E-3</v>
      </c>
    </row>
    <row r="8" spans="1:5" x14ac:dyDescent="0.25">
      <c r="A8" s="2" t="s">
        <v>49</v>
      </c>
      <c r="B8" s="2">
        <v>0.13</v>
      </c>
      <c r="C8" s="2">
        <v>0.11</v>
      </c>
      <c r="D8" s="24">
        <f t="shared" si="0"/>
        <v>1.4300000000000001E-4</v>
      </c>
    </row>
    <row r="9" spans="1:5" x14ac:dyDescent="0.25">
      <c r="A9" s="2" t="s">
        <v>50</v>
      </c>
      <c r="B9" s="2">
        <v>0.03</v>
      </c>
      <c r="C9" s="2">
        <v>-0.28999999999999998</v>
      </c>
      <c r="D9" s="24">
        <f t="shared" si="0"/>
        <v>-8.7000000000000001E-5</v>
      </c>
      <c r="E9" s="2"/>
    </row>
    <row r="10" spans="1:5" x14ac:dyDescent="0.25">
      <c r="A10" s="10" t="s">
        <v>24</v>
      </c>
      <c r="B10" s="3">
        <f>B2++B3+B4+B5+B6+B7+B8+B9</f>
        <v>88.54</v>
      </c>
      <c r="C10" s="2"/>
      <c r="D10" s="4">
        <f>D2+D3+D4+D5+D6+D7+D8+D9</f>
        <v>1.8802531225615173</v>
      </c>
      <c r="E10" s="13"/>
    </row>
    <row r="11" spans="1:5" x14ac:dyDescent="0.25">
      <c r="A11" s="28"/>
      <c r="B11" s="28"/>
      <c r="C11" s="8"/>
      <c r="D11" s="8"/>
    </row>
    <row r="31" spans="1:6" x14ac:dyDescent="0.25">
      <c r="A31" s="3"/>
      <c r="B31" s="29"/>
      <c r="C31" s="29"/>
      <c r="D31" s="16"/>
      <c r="E31" s="3"/>
      <c r="F31" s="3"/>
    </row>
    <row r="32" spans="1:6" x14ac:dyDescent="0.25">
      <c r="A32" s="19"/>
      <c r="B32" s="28"/>
      <c r="C32" s="28"/>
      <c r="D32" s="17"/>
      <c r="E32" s="17"/>
      <c r="F32" s="20"/>
    </row>
    <row r="33" spans="1:6" x14ac:dyDescent="0.25">
      <c r="A33" s="19"/>
      <c r="B33" s="28"/>
      <c r="C33" s="28"/>
      <c r="D33" s="17"/>
      <c r="E33" s="17"/>
      <c r="F33" s="20"/>
    </row>
    <row r="34" spans="1:6" x14ac:dyDescent="0.25">
      <c r="A34" s="19"/>
      <c r="B34" s="28"/>
      <c r="C34" s="28"/>
      <c r="D34" s="17"/>
      <c r="E34" s="17"/>
      <c r="F34" s="20"/>
    </row>
    <row r="35" spans="1:6" x14ac:dyDescent="0.25">
      <c r="A35" s="19"/>
      <c r="B35" s="28"/>
      <c r="C35" s="28"/>
      <c r="D35" s="17"/>
      <c r="E35" s="17"/>
      <c r="F35" s="20"/>
    </row>
    <row r="36" spans="1:6" x14ac:dyDescent="0.25">
      <c r="A36" s="19"/>
      <c r="B36" s="28"/>
      <c r="C36" s="28"/>
      <c r="D36" s="17"/>
      <c r="E36" s="17"/>
      <c r="F36" s="20"/>
    </row>
    <row r="37" spans="1:6" x14ac:dyDescent="0.25">
      <c r="A37" s="19"/>
      <c r="B37" s="28"/>
      <c r="C37" s="28"/>
      <c r="D37" s="17"/>
      <c r="E37" s="17"/>
      <c r="F37" s="20"/>
    </row>
    <row r="38" spans="1:6" x14ac:dyDescent="0.25">
      <c r="A38" s="19"/>
      <c r="B38" s="28"/>
      <c r="C38" s="28"/>
      <c r="D38" s="17"/>
      <c r="E38" s="17"/>
      <c r="F38" s="20"/>
    </row>
    <row r="39" spans="1:6" x14ac:dyDescent="0.25">
      <c r="A39" s="19"/>
      <c r="B39" s="28"/>
      <c r="C39" s="28"/>
      <c r="D39" s="17"/>
      <c r="E39" s="17"/>
      <c r="F39" s="20"/>
    </row>
    <row r="40" spans="1:6" x14ac:dyDescent="0.25">
      <c r="A40" s="19"/>
      <c r="B40" s="28"/>
      <c r="C40" s="28"/>
      <c r="D40" s="17"/>
      <c r="E40" s="17"/>
      <c r="F40" s="20"/>
    </row>
    <row r="41" spans="1:6" x14ac:dyDescent="0.25">
      <c r="A41" s="19"/>
      <c r="B41" s="28"/>
      <c r="C41" s="28"/>
      <c r="D41" s="17"/>
      <c r="E41" s="17"/>
      <c r="F41" s="20"/>
    </row>
    <row r="42" spans="1:6" x14ac:dyDescent="0.25">
      <c r="A42" s="19"/>
      <c r="B42" s="28"/>
      <c r="C42" s="28"/>
      <c r="D42" s="17"/>
      <c r="E42" s="17"/>
      <c r="F42" s="20"/>
    </row>
    <row r="43" spans="1:6" x14ac:dyDescent="0.25">
      <c r="A43" s="19"/>
      <c r="B43" s="28"/>
      <c r="C43" s="28"/>
      <c r="D43" s="17"/>
      <c r="E43" s="17"/>
      <c r="F43" s="20"/>
    </row>
    <row r="44" spans="1:6" x14ac:dyDescent="0.25">
      <c r="A44" s="19"/>
      <c r="B44" s="28"/>
      <c r="C44" s="28"/>
      <c r="D44" s="17"/>
      <c r="E44" s="17"/>
      <c r="F44" s="20"/>
    </row>
    <row r="45" spans="1:6" x14ac:dyDescent="0.25">
      <c r="A45" s="19"/>
      <c r="B45" s="28"/>
      <c r="C45" s="28"/>
      <c r="D45" s="17"/>
      <c r="E45" s="17"/>
      <c r="F45" s="20"/>
    </row>
    <row r="46" spans="1:6" x14ac:dyDescent="0.25">
      <c r="A46" s="19"/>
      <c r="B46" s="28"/>
      <c r="C46" s="28"/>
      <c r="D46" s="17"/>
      <c r="E46" s="17"/>
      <c r="F46" s="20"/>
    </row>
    <row r="47" spans="1:6" x14ac:dyDescent="0.25">
      <c r="A47" s="19"/>
      <c r="B47" s="28"/>
      <c r="C47" s="28"/>
      <c r="D47" s="17"/>
      <c r="E47" s="17"/>
      <c r="F47" s="20"/>
    </row>
    <row r="48" spans="1:6" x14ac:dyDescent="0.25">
      <c r="A48" s="19"/>
      <c r="B48" s="28"/>
      <c r="C48" s="28"/>
      <c r="D48" s="17"/>
      <c r="E48" s="17"/>
      <c r="F48" s="20"/>
    </row>
    <row r="49" spans="1:6" x14ac:dyDescent="0.25">
      <c r="A49" s="19"/>
      <c r="B49" s="28"/>
      <c r="C49" s="28"/>
      <c r="D49" s="17"/>
      <c r="E49" s="17"/>
      <c r="F49" s="20"/>
    </row>
    <row r="50" spans="1:6" x14ac:dyDescent="0.25">
      <c r="A50" s="19"/>
      <c r="B50" s="28"/>
      <c r="C50" s="28"/>
      <c r="D50" s="17"/>
      <c r="E50" s="17"/>
      <c r="F50" s="20"/>
    </row>
    <row r="51" spans="1:6" x14ac:dyDescent="0.25">
      <c r="A51" s="19"/>
      <c r="B51" s="28"/>
      <c r="C51" s="28"/>
      <c r="D51" s="17"/>
      <c r="E51" s="17"/>
      <c r="F51" s="20"/>
    </row>
    <row r="52" spans="1:6" x14ac:dyDescent="0.25">
      <c r="A52" s="19"/>
      <c r="B52" s="28"/>
      <c r="C52" s="28"/>
      <c r="D52" s="17"/>
      <c r="E52" s="17"/>
      <c r="F52" s="20"/>
    </row>
    <row r="53" spans="1:6" x14ac:dyDescent="0.25">
      <c r="A53" s="19"/>
      <c r="B53" s="28"/>
      <c r="C53" s="28"/>
      <c r="D53" s="17"/>
      <c r="E53" s="17"/>
      <c r="F53" s="20"/>
    </row>
    <row r="54" spans="1:6" x14ac:dyDescent="0.25">
      <c r="A54" s="19"/>
      <c r="B54" s="28"/>
      <c r="C54" s="28"/>
      <c r="D54" s="17"/>
      <c r="E54" s="17"/>
      <c r="F54" s="20"/>
    </row>
    <row r="55" spans="1:6" x14ac:dyDescent="0.25">
      <c r="A55" s="19"/>
      <c r="B55" s="28"/>
      <c r="C55" s="28"/>
      <c r="D55" s="17"/>
      <c r="E55" s="17"/>
      <c r="F55" s="20"/>
    </row>
    <row r="56" spans="1:6" x14ac:dyDescent="0.25">
      <c r="A56" s="19"/>
      <c r="B56" s="28"/>
      <c r="C56" s="28"/>
      <c r="D56" s="17"/>
      <c r="E56" s="17"/>
      <c r="F56" s="20"/>
    </row>
    <row r="57" spans="1:6" x14ac:dyDescent="0.25">
      <c r="A57" s="19"/>
      <c r="B57" s="28"/>
      <c r="C57" s="28"/>
      <c r="D57" s="17"/>
      <c r="E57" s="17"/>
      <c r="F57" s="20"/>
    </row>
    <row r="58" spans="1:6" x14ac:dyDescent="0.25">
      <c r="A58" s="19"/>
      <c r="B58" s="28"/>
      <c r="C58" s="28"/>
      <c r="D58" s="17"/>
      <c r="E58" s="17"/>
      <c r="F58" s="20"/>
    </row>
    <row r="59" spans="1:6" x14ac:dyDescent="0.25">
      <c r="A59" s="19"/>
      <c r="B59" s="28"/>
      <c r="C59" s="28"/>
      <c r="D59" s="17"/>
      <c r="E59" s="17"/>
      <c r="F59" s="20"/>
    </row>
    <row r="60" spans="1:6" x14ac:dyDescent="0.25">
      <c r="A60" s="19"/>
      <c r="B60" s="28"/>
      <c r="C60" s="28"/>
      <c r="D60" s="17"/>
      <c r="E60" s="17"/>
      <c r="F60" s="20"/>
    </row>
    <row r="61" spans="1:6" x14ac:dyDescent="0.25">
      <c r="A61" s="19"/>
      <c r="B61" s="28"/>
      <c r="C61" s="28"/>
      <c r="D61" s="17"/>
      <c r="E61" s="17"/>
      <c r="F61" s="20"/>
    </row>
    <row r="62" spans="1:6" x14ac:dyDescent="0.25">
      <c r="A62" s="19"/>
      <c r="B62" s="28"/>
      <c r="C62" s="28"/>
      <c r="D62" s="17"/>
      <c r="E62" s="17"/>
      <c r="F62" s="20"/>
    </row>
    <row r="63" spans="1:6" x14ac:dyDescent="0.25">
      <c r="A63" s="19"/>
      <c r="B63" s="28"/>
      <c r="C63" s="28"/>
      <c r="D63" s="17"/>
      <c r="E63" s="17"/>
      <c r="F63" s="20"/>
    </row>
    <row r="64" spans="1:6" x14ac:dyDescent="0.25">
      <c r="A64" s="19"/>
      <c r="B64" s="28"/>
      <c r="C64" s="28"/>
      <c r="D64" s="17"/>
      <c r="E64" s="17"/>
      <c r="F64" s="20"/>
    </row>
    <row r="65" spans="1:6" x14ac:dyDescent="0.25">
      <c r="A65" s="19"/>
      <c r="B65" s="28"/>
      <c r="C65" s="28"/>
      <c r="D65" s="17"/>
      <c r="E65" s="17"/>
      <c r="F65" s="20"/>
    </row>
    <row r="66" spans="1:6" x14ac:dyDescent="0.25">
      <c r="A66" s="19"/>
      <c r="B66" s="28"/>
      <c r="C66" s="28"/>
      <c r="D66" s="17"/>
      <c r="E66" s="17"/>
      <c r="F66" s="20"/>
    </row>
    <row r="67" spans="1:6" x14ac:dyDescent="0.25">
      <c r="A67" s="19"/>
      <c r="B67" s="28"/>
      <c r="C67" s="28"/>
      <c r="D67" s="17"/>
      <c r="E67" s="17"/>
      <c r="F67" s="20"/>
    </row>
    <row r="68" spans="1:6" x14ac:dyDescent="0.25">
      <c r="A68" s="19"/>
      <c r="B68" s="28"/>
      <c r="C68" s="28"/>
      <c r="D68" s="17"/>
      <c r="E68" s="17"/>
      <c r="F68" s="20"/>
    </row>
    <row r="69" spans="1:6" x14ac:dyDescent="0.25">
      <c r="A69" s="19"/>
      <c r="B69" s="28"/>
      <c r="C69" s="28"/>
      <c r="D69" s="17"/>
      <c r="E69" s="17"/>
      <c r="F69" s="20"/>
    </row>
    <row r="70" spans="1:6" x14ac:dyDescent="0.25">
      <c r="A70" s="19"/>
      <c r="B70" s="28"/>
      <c r="C70" s="28"/>
      <c r="D70" s="17"/>
      <c r="E70" s="17"/>
      <c r="F70" s="20"/>
    </row>
    <row r="71" spans="1:6" x14ac:dyDescent="0.25">
      <c r="A71" s="19"/>
      <c r="B71" s="28"/>
      <c r="C71" s="28"/>
      <c r="D71" s="17"/>
      <c r="E71" s="17"/>
      <c r="F71" s="20"/>
    </row>
    <row r="72" spans="1:6" x14ac:dyDescent="0.25">
      <c r="A72" s="19"/>
      <c r="B72" s="28"/>
      <c r="C72" s="28"/>
      <c r="D72" s="17"/>
      <c r="E72" s="17"/>
      <c r="F72" s="20"/>
    </row>
    <row r="73" spans="1:6" x14ac:dyDescent="0.25">
      <c r="A73" s="19"/>
      <c r="B73" s="28"/>
      <c r="C73" s="28"/>
      <c r="D73" s="17"/>
      <c r="E73" s="17"/>
      <c r="F73" s="20"/>
    </row>
    <row r="74" spans="1:6" x14ac:dyDescent="0.25">
      <c r="A74" s="19"/>
      <c r="B74" s="28"/>
      <c r="C74" s="28"/>
      <c r="D74" s="17"/>
      <c r="E74" s="17"/>
      <c r="F74" s="20"/>
    </row>
    <row r="75" spans="1:6" x14ac:dyDescent="0.25">
      <c r="A75" s="19"/>
      <c r="B75" s="28"/>
      <c r="C75" s="28"/>
      <c r="D75" s="17"/>
      <c r="E75" s="17"/>
      <c r="F75" s="20"/>
    </row>
    <row r="76" spans="1:6" x14ac:dyDescent="0.25">
      <c r="A76" s="19"/>
      <c r="B76" s="28"/>
      <c r="C76" s="28"/>
      <c r="D76" s="17"/>
      <c r="E76" s="17"/>
      <c r="F76" s="20"/>
    </row>
    <row r="77" spans="1:6" x14ac:dyDescent="0.25">
      <c r="A77" s="19"/>
      <c r="B77" s="28"/>
      <c r="C77" s="28"/>
      <c r="D77" s="17"/>
      <c r="E77" s="17"/>
      <c r="F77" s="20"/>
    </row>
    <row r="78" spans="1:6" x14ac:dyDescent="0.25">
      <c r="A78" s="19"/>
      <c r="B78" s="28"/>
      <c r="C78" s="28"/>
      <c r="D78" s="17"/>
      <c r="E78" s="17"/>
      <c r="F78" s="20"/>
    </row>
    <row r="79" spans="1:6" x14ac:dyDescent="0.25">
      <c r="A79" s="19"/>
      <c r="B79" s="28"/>
      <c r="C79" s="28"/>
      <c r="D79" s="17"/>
      <c r="E79" s="17"/>
      <c r="F79" s="20"/>
    </row>
    <row r="80" spans="1:6" x14ac:dyDescent="0.25">
      <c r="A80" s="19"/>
      <c r="B80" s="28"/>
      <c r="C80" s="28"/>
      <c r="D80" s="17"/>
      <c r="E80" s="17"/>
      <c r="F80" s="20"/>
    </row>
    <row r="81" spans="1:6" x14ac:dyDescent="0.25">
      <c r="A81" s="19"/>
      <c r="B81" s="28"/>
      <c r="C81" s="28"/>
      <c r="D81" s="17"/>
      <c r="E81" s="17"/>
      <c r="F81" s="20"/>
    </row>
    <row r="82" spans="1:6" x14ac:dyDescent="0.25">
      <c r="A82" s="19"/>
      <c r="B82" s="28"/>
      <c r="C82" s="28"/>
      <c r="D82" s="17"/>
      <c r="E82" s="17"/>
      <c r="F82" s="20"/>
    </row>
    <row r="83" spans="1:6" x14ac:dyDescent="0.25">
      <c r="A83" s="19"/>
      <c r="B83" s="28"/>
      <c r="C83" s="28"/>
      <c r="D83" s="17"/>
      <c r="E83" s="17"/>
      <c r="F83" s="20"/>
    </row>
    <row r="84" spans="1:6" x14ac:dyDescent="0.25">
      <c r="A84" s="19"/>
      <c r="B84" s="28"/>
      <c r="C84" s="28"/>
      <c r="D84" s="17"/>
      <c r="E84" s="17"/>
      <c r="F84" s="20"/>
    </row>
    <row r="85" spans="1:6" x14ac:dyDescent="0.25">
      <c r="A85" s="19"/>
      <c r="B85" s="28"/>
      <c r="C85" s="28"/>
      <c r="D85" s="17"/>
      <c r="E85" s="17"/>
      <c r="F85" s="20"/>
    </row>
    <row r="86" spans="1:6" x14ac:dyDescent="0.25">
      <c r="A86" s="19"/>
      <c r="B86" s="28"/>
      <c r="C86" s="28"/>
      <c r="D86" s="17"/>
      <c r="E86" s="17"/>
      <c r="F86" s="20"/>
    </row>
    <row r="87" spans="1:6" x14ac:dyDescent="0.25">
      <c r="A87" s="19"/>
      <c r="B87" s="28"/>
      <c r="C87" s="28"/>
      <c r="D87" s="17"/>
      <c r="E87" s="17"/>
      <c r="F87" s="20"/>
    </row>
    <row r="88" spans="1:6" x14ac:dyDescent="0.25">
      <c r="A88" s="19"/>
      <c r="B88" s="28"/>
      <c r="C88" s="28"/>
      <c r="D88" s="17"/>
      <c r="E88" s="17"/>
      <c r="F88" s="20"/>
    </row>
    <row r="89" spans="1:6" x14ac:dyDescent="0.25">
      <c r="A89" s="19"/>
      <c r="B89" s="28"/>
      <c r="C89" s="28"/>
      <c r="D89" s="17"/>
      <c r="E89" s="17"/>
      <c r="F89" s="20"/>
    </row>
    <row r="90" spans="1:6" x14ac:dyDescent="0.25">
      <c r="A90" s="19"/>
      <c r="B90" s="28"/>
      <c r="C90" s="28"/>
      <c r="D90" s="17"/>
      <c r="E90" s="17"/>
      <c r="F90" s="20"/>
    </row>
    <row r="91" spans="1:6" x14ac:dyDescent="0.25">
      <c r="A91" s="19"/>
      <c r="B91" s="28"/>
      <c r="C91" s="28"/>
      <c r="D91" s="17"/>
      <c r="E91" s="17"/>
      <c r="F91" s="20"/>
    </row>
    <row r="92" spans="1:6" x14ac:dyDescent="0.25">
      <c r="A92" s="19"/>
      <c r="B92" s="28"/>
      <c r="C92" s="28"/>
      <c r="D92" s="17"/>
      <c r="E92" s="17"/>
      <c r="F92" s="20"/>
    </row>
    <row r="93" spans="1:6" x14ac:dyDescent="0.25">
      <c r="A93" s="19"/>
      <c r="B93" s="28"/>
      <c r="C93" s="28"/>
      <c r="D93" s="17"/>
      <c r="E93" s="17"/>
      <c r="F93" s="20"/>
    </row>
    <row r="94" spans="1:6" x14ac:dyDescent="0.25">
      <c r="A94" s="19"/>
      <c r="B94" s="28"/>
      <c r="C94" s="28"/>
      <c r="D94" s="17"/>
      <c r="E94" s="17"/>
      <c r="F94" s="20"/>
    </row>
    <row r="95" spans="1:6" x14ac:dyDescent="0.25">
      <c r="A95" s="19"/>
      <c r="B95" s="28"/>
      <c r="C95" s="28"/>
      <c r="D95" s="17"/>
      <c r="E95" s="17"/>
      <c r="F95" s="20"/>
    </row>
    <row r="96" spans="1:6" x14ac:dyDescent="0.25">
      <c r="A96" s="19"/>
      <c r="B96" s="28"/>
      <c r="C96" s="28"/>
      <c r="D96" s="17"/>
      <c r="E96" s="17"/>
      <c r="F96" s="20"/>
    </row>
    <row r="97" spans="1:6" x14ac:dyDescent="0.25">
      <c r="A97" s="19"/>
      <c r="B97" s="28"/>
      <c r="C97" s="28"/>
      <c r="D97" s="17"/>
      <c r="E97" s="17"/>
      <c r="F97" s="20"/>
    </row>
    <row r="98" spans="1:6" x14ac:dyDescent="0.25">
      <c r="A98" s="19"/>
      <c r="B98" s="28"/>
      <c r="C98" s="28"/>
      <c r="D98" s="17"/>
      <c r="E98" s="17"/>
      <c r="F98" s="20"/>
    </row>
    <row r="99" spans="1:6" x14ac:dyDescent="0.25">
      <c r="A99" s="19"/>
      <c r="B99" s="28"/>
      <c r="C99" s="28"/>
      <c r="D99" s="17"/>
      <c r="E99" s="17"/>
      <c r="F99" s="20"/>
    </row>
    <row r="100" spans="1:6" x14ac:dyDescent="0.25">
      <c r="A100" s="19"/>
      <c r="B100" s="28"/>
      <c r="C100" s="28"/>
      <c r="D100" s="17"/>
      <c r="E100" s="17"/>
      <c r="F100" s="20"/>
    </row>
    <row r="101" spans="1:6" x14ac:dyDescent="0.25">
      <c r="A101" s="19"/>
      <c r="B101" s="28"/>
      <c r="C101" s="28"/>
      <c r="D101" s="17"/>
      <c r="E101" s="17"/>
      <c r="F101" s="20"/>
    </row>
    <row r="102" spans="1:6" x14ac:dyDescent="0.25">
      <c r="A102" s="19"/>
      <c r="B102" s="28"/>
      <c r="C102" s="28"/>
      <c r="D102" s="17"/>
      <c r="E102" s="17"/>
      <c r="F102" s="20"/>
    </row>
    <row r="103" spans="1:6" x14ac:dyDescent="0.25">
      <c r="A103" s="19"/>
      <c r="B103" s="28"/>
      <c r="C103" s="28"/>
      <c r="D103" s="17"/>
      <c r="E103" s="17"/>
      <c r="F103" s="20"/>
    </row>
    <row r="104" spans="1:6" x14ac:dyDescent="0.25">
      <c r="A104" s="19"/>
      <c r="B104" s="28"/>
      <c r="C104" s="28"/>
      <c r="D104" s="17"/>
      <c r="E104" s="17"/>
      <c r="F104" s="20"/>
    </row>
    <row r="105" spans="1:6" x14ac:dyDescent="0.25">
      <c r="A105" s="19"/>
      <c r="B105" s="28"/>
      <c r="C105" s="28"/>
      <c r="D105" s="17"/>
      <c r="E105" s="17"/>
      <c r="F105" s="20"/>
    </row>
    <row r="106" spans="1:6" x14ac:dyDescent="0.25">
      <c r="A106" s="19"/>
      <c r="B106" s="28"/>
      <c r="C106" s="28"/>
      <c r="D106" s="17"/>
      <c r="E106" s="17"/>
      <c r="F106" s="20"/>
    </row>
    <row r="107" spans="1:6" x14ac:dyDescent="0.25">
      <c r="A107" s="19"/>
      <c r="B107" s="28"/>
      <c r="C107" s="28"/>
      <c r="D107" s="17"/>
      <c r="E107" s="17"/>
      <c r="F107" s="20"/>
    </row>
    <row r="108" spans="1:6" x14ac:dyDescent="0.25">
      <c r="A108" s="19"/>
      <c r="B108" s="28"/>
      <c r="C108" s="28"/>
      <c r="D108" s="17"/>
      <c r="E108" s="17"/>
      <c r="F108" s="20"/>
    </row>
    <row r="109" spans="1:6" x14ac:dyDescent="0.25">
      <c r="A109" s="19"/>
      <c r="B109" s="28"/>
      <c r="C109" s="28"/>
      <c r="D109" s="17"/>
      <c r="E109" s="17"/>
      <c r="F109" s="20"/>
    </row>
    <row r="110" spans="1:6" x14ac:dyDescent="0.25">
      <c r="A110" s="19"/>
      <c r="B110" s="28"/>
      <c r="C110" s="28"/>
      <c r="D110" s="17"/>
      <c r="E110" s="17"/>
      <c r="F110" s="20"/>
    </row>
    <row r="111" spans="1:6" x14ac:dyDescent="0.25">
      <c r="A111" s="19"/>
      <c r="B111" s="28"/>
      <c r="C111" s="28"/>
      <c r="D111" s="17"/>
      <c r="E111" s="17"/>
      <c r="F111" s="20"/>
    </row>
    <row r="112" spans="1:6" x14ac:dyDescent="0.25">
      <c r="A112" s="19"/>
      <c r="B112" s="28"/>
      <c r="C112" s="28"/>
      <c r="D112" s="17"/>
      <c r="E112" s="17"/>
      <c r="F112" s="20"/>
    </row>
    <row r="113" spans="1:6" x14ac:dyDescent="0.25">
      <c r="A113" s="19"/>
      <c r="B113" s="28"/>
      <c r="C113" s="28"/>
      <c r="D113" s="17"/>
      <c r="E113" s="17"/>
      <c r="F113" s="20"/>
    </row>
    <row r="114" spans="1:6" x14ac:dyDescent="0.25">
      <c r="A114" s="19"/>
      <c r="B114" s="28"/>
      <c r="C114" s="28"/>
      <c r="D114" s="17"/>
      <c r="E114" s="17"/>
      <c r="F114" s="20"/>
    </row>
    <row r="115" spans="1:6" x14ac:dyDescent="0.25">
      <c r="A115" s="19"/>
      <c r="B115" s="28"/>
      <c r="C115" s="28"/>
      <c r="D115" s="17"/>
      <c r="E115" s="17"/>
      <c r="F115" s="20"/>
    </row>
    <row r="116" spans="1:6" x14ac:dyDescent="0.25">
      <c r="A116" s="19"/>
      <c r="B116" s="28"/>
      <c r="C116" s="28"/>
      <c r="D116" s="17"/>
      <c r="E116" s="17"/>
      <c r="F116" s="20"/>
    </row>
    <row r="117" spans="1:6" x14ac:dyDescent="0.25">
      <c r="A117" s="19"/>
      <c r="B117" s="28"/>
      <c r="C117" s="28"/>
      <c r="D117" s="17"/>
      <c r="E117" s="17"/>
      <c r="F117" s="20"/>
    </row>
    <row r="118" spans="1:6" x14ac:dyDescent="0.25">
      <c r="A118" s="19"/>
      <c r="B118" s="28"/>
      <c r="C118" s="28"/>
      <c r="D118" s="17"/>
      <c r="E118" s="17"/>
      <c r="F118" s="20"/>
    </row>
    <row r="119" spans="1:6" x14ac:dyDescent="0.25">
      <c r="A119" s="19"/>
      <c r="B119" s="28"/>
      <c r="C119" s="28"/>
      <c r="D119" s="17"/>
      <c r="E119" s="17"/>
      <c r="F119" s="20"/>
    </row>
    <row r="120" spans="1:6" x14ac:dyDescent="0.25">
      <c r="A120" s="19"/>
      <c r="B120" s="28"/>
      <c r="C120" s="28"/>
      <c r="D120" s="17"/>
      <c r="E120" s="17"/>
      <c r="F120" s="20"/>
    </row>
    <row r="121" spans="1:6" x14ac:dyDescent="0.25">
      <c r="A121" s="19"/>
      <c r="B121" s="28"/>
      <c r="C121" s="28"/>
      <c r="D121" s="17"/>
      <c r="E121" s="17"/>
      <c r="F121" s="20"/>
    </row>
    <row r="122" spans="1:6" x14ac:dyDescent="0.25">
      <c r="A122" s="19"/>
      <c r="B122" s="28"/>
      <c r="C122" s="28"/>
      <c r="D122" s="17"/>
      <c r="E122" s="17"/>
      <c r="F122" s="20"/>
    </row>
    <row r="123" spans="1:6" x14ac:dyDescent="0.25">
      <c r="A123" s="19"/>
      <c r="B123" s="28"/>
      <c r="C123" s="28"/>
      <c r="D123" s="17"/>
      <c r="E123" s="17"/>
      <c r="F123" s="20"/>
    </row>
    <row r="124" spans="1:6" x14ac:dyDescent="0.25">
      <c r="A124" s="19"/>
      <c r="B124" s="28"/>
      <c r="C124" s="28"/>
      <c r="D124" s="17"/>
      <c r="E124" s="17"/>
      <c r="F124" s="20"/>
    </row>
    <row r="125" spans="1:6" x14ac:dyDescent="0.25">
      <c r="A125" s="19"/>
      <c r="B125" s="28"/>
      <c r="C125" s="28"/>
      <c r="D125" s="17"/>
      <c r="E125" s="17"/>
      <c r="F125" s="20"/>
    </row>
    <row r="126" spans="1:6" x14ac:dyDescent="0.25">
      <c r="A126" s="19"/>
      <c r="B126" s="28"/>
      <c r="C126" s="28"/>
      <c r="D126" s="17"/>
      <c r="E126" s="17"/>
      <c r="F126" s="20"/>
    </row>
    <row r="127" spans="1:6" x14ac:dyDescent="0.25">
      <c r="A127" s="19"/>
      <c r="B127" s="28"/>
      <c r="C127" s="28"/>
      <c r="D127" s="17"/>
      <c r="E127" s="17"/>
      <c r="F127" s="20"/>
    </row>
    <row r="128" spans="1:6" x14ac:dyDescent="0.25">
      <c r="A128" s="19"/>
      <c r="B128" s="28"/>
      <c r="C128" s="28"/>
      <c r="D128" s="17"/>
      <c r="E128" s="17"/>
      <c r="F128" s="20"/>
    </row>
    <row r="129" spans="1:6" x14ac:dyDescent="0.25">
      <c r="A129" s="19"/>
      <c r="B129" s="28"/>
      <c r="C129" s="28"/>
      <c r="D129" s="17"/>
      <c r="E129" s="17"/>
      <c r="F129" s="20"/>
    </row>
    <row r="130" spans="1:6" x14ac:dyDescent="0.25">
      <c r="A130" s="19"/>
      <c r="B130" s="28"/>
      <c r="C130" s="28"/>
      <c r="D130" s="17"/>
      <c r="E130" s="17"/>
      <c r="F130" s="20"/>
    </row>
    <row r="131" spans="1:6" x14ac:dyDescent="0.25">
      <c r="A131" s="19"/>
      <c r="B131" s="28"/>
      <c r="C131" s="28"/>
      <c r="D131" s="17"/>
      <c r="E131" s="17"/>
      <c r="F131" s="20"/>
    </row>
    <row r="132" spans="1:6" x14ac:dyDescent="0.25">
      <c r="A132" s="19"/>
      <c r="B132" s="28"/>
      <c r="C132" s="28"/>
      <c r="D132" s="17"/>
      <c r="E132" s="17"/>
      <c r="F132" s="20"/>
    </row>
    <row r="133" spans="1:6" x14ac:dyDescent="0.25">
      <c r="A133" s="19"/>
      <c r="B133" s="28"/>
      <c r="C133" s="28"/>
      <c r="D133" s="17"/>
      <c r="E133" s="17"/>
      <c r="F133" s="20"/>
    </row>
    <row r="134" spans="1:6" x14ac:dyDescent="0.25">
      <c r="A134" s="19"/>
      <c r="B134" s="28"/>
      <c r="C134" s="28"/>
      <c r="D134" s="17"/>
      <c r="E134" s="17"/>
      <c r="F134" s="20"/>
    </row>
    <row r="135" spans="1:6" x14ac:dyDescent="0.25">
      <c r="A135" s="19"/>
      <c r="B135" s="28"/>
      <c r="C135" s="28"/>
      <c r="D135" s="17"/>
      <c r="E135" s="17"/>
      <c r="F135" s="20"/>
    </row>
    <row r="136" spans="1:6" x14ac:dyDescent="0.25">
      <c r="A136" s="19"/>
      <c r="B136" s="28"/>
      <c r="C136" s="28"/>
      <c r="D136" s="17"/>
      <c r="E136" s="17"/>
      <c r="F136" s="20"/>
    </row>
    <row r="137" spans="1:6" x14ac:dyDescent="0.25">
      <c r="A137" s="19"/>
      <c r="B137" s="28"/>
      <c r="C137" s="28"/>
      <c r="D137" s="17"/>
      <c r="E137" s="17"/>
      <c r="F137" s="20"/>
    </row>
    <row r="138" spans="1:6" x14ac:dyDescent="0.25">
      <c r="A138" s="19"/>
      <c r="B138" s="28"/>
      <c r="C138" s="28"/>
      <c r="D138" s="17"/>
      <c r="E138" s="17"/>
      <c r="F138" s="20"/>
    </row>
    <row r="139" spans="1:6" x14ac:dyDescent="0.25">
      <c r="A139" s="19"/>
      <c r="B139" s="28"/>
      <c r="C139" s="28"/>
      <c r="D139" s="17"/>
      <c r="E139" s="17"/>
      <c r="F139" s="20"/>
    </row>
    <row r="140" spans="1:6" x14ac:dyDescent="0.25">
      <c r="A140" s="19"/>
      <c r="B140" s="28"/>
      <c r="C140" s="28"/>
      <c r="D140" s="17"/>
      <c r="E140" s="17"/>
      <c r="F140" s="20"/>
    </row>
    <row r="141" spans="1:6" x14ac:dyDescent="0.25">
      <c r="A141" s="19"/>
      <c r="B141" s="28"/>
      <c r="C141" s="28"/>
      <c r="D141" s="17"/>
      <c r="E141" s="17"/>
      <c r="F141" s="20"/>
    </row>
  </sheetData>
  <mergeCells count="112">
    <mergeCell ref="B34:C34"/>
    <mergeCell ref="B33:C33"/>
    <mergeCell ref="A11:B11"/>
    <mergeCell ref="B31:C31"/>
    <mergeCell ref="B32:C32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40:C140"/>
    <mergeCell ref="B141:C141"/>
    <mergeCell ref="B135:C135"/>
    <mergeCell ref="B136:C136"/>
    <mergeCell ref="B137:C137"/>
    <mergeCell ref="B138:C138"/>
    <mergeCell ref="B139:C1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8"/>
  <sheetViews>
    <sheetView workbookViewId="0">
      <selection activeCell="B2" sqref="B2:C49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t="s">
        <v>5</v>
      </c>
      <c r="B2" s="2">
        <v>4.8600000000000003</v>
      </c>
      <c r="C2" s="1">
        <v>5.2378664103796204</v>
      </c>
      <c r="D2" s="5">
        <f>B2*C2/100</f>
        <v>0.25456030754444958</v>
      </c>
    </row>
    <row r="3" spans="1:4" x14ac:dyDescent="0.25">
      <c r="A3" t="s">
        <v>4</v>
      </c>
      <c r="B3" s="2">
        <v>6.78</v>
      </c>
      <c r="C3" s="1">
        <v>-0.31023784901758</v>
      </c>
      <c r="D3" s="5">
        <f t="shared" ref="D3:D49" si="0">B3*C3/100</f>
        <v>-2.1034126163391925E-2</v>
      </c>
    </row>
    <row r="4" spans="1:4" x14ac:dyDescent="0.25">
      <c r="A4" t="s">
        <v>8</v>
      </c>
      <c r="B4" s="2">
        <v>4.8899999999999997</v>
      </c>
      <c r="C4" s="1">
        <v>1.3333333333333299</v>
      </c>
      <c r="D4" s="5">
        <f t="shared" si="0"/>
        <v>6.5199999999999828E-2</v>
      </c>
    </row>
    <row r="5" spans="1:4" x14ac:dyDescent="0.25">
      <c r="A5" t="s">
        <v>7</v>
      </c>
      <c r="B5" s="2">
        <v>2.85</v>
      </c>
      <c r="C5" s="1">
        <v>-9.9682539682539595</v>
      </c>
      <c r="D5" s="5">
        <f t="shared" si="0"/>
        <v>-0.28409523809523785</v>
      </c>
    </row>
    <row r="6" spans="1:4" x14ac:dyDescent="0.25">
      <c r="A6" t="s">
        <v>51</v>
      </c>
      <c r="B6" s="2">
        <v>4.87</v>
      </c>
      <c r="C6" s="1">
        <v>-9.9891422366992302</v>
      </c>
      <c r="D6" s="5">
        <f t="shared" si="0"/>
        <v>-0.48647122692725253</v>
      </c>
    </row>
    <row r="7" spans="1:4" x14ac:dyDescent="0.25">
      <c r="A7" t="s">
        <v>12</v>
      </c>
      <c r="B7" s="2">
        <v>7.81</v>
      </c>
      <c r="C7" s="1">
        <v>1.3493253373313301</v>
      </c>
      <c r="D7" s="5">
        <f t="shared" si="0"/>
        <v>0.10538230884557688</v>
      </c>
    </row>
    <row r="8" spans="1:4" x14ac:dyDescent="0.25">
      <c r="A8" t="s">
        <v>17</v>
      </c>
      <c r="B8" s="22">
        <v>3.51</v>
      </c>
      <c r="C8" s="23">
        <v>-9.9902534113060408</v>
      </c>
      <c r="D8" s="5">
        <f t="shared" si="0"/>
        <v>-0.350657894736842</v>
      </c>
    </row>
    <row r="9" spans="1:4" x14ac:dyDescent="0.25">
      <c r="A9" t="s">
        <v>10</v>
      </c>
      <c r="B9" s="2">
        <v>6.07</v>
      </c>
      <c r="C9" s="1">
        <v>1.3123359580052401</v>
      </c>
      <c r="D9" s="5">
        <f t="shared" si="0"/>
        <v>7.9658792650918075E-2</v>
      </c>
    </row>
    <row r="10" spans="1:4" x14ac:dyDescent="0.25">
      <c r="A10" t="s">
        <v>6</v>
      </c>
      <c r="B10" s="2">
        <v>6.54</v>
      </c>
      <c r="C10" s="1">
        <v>1.38888888888888</v>
      </c>
      <c r="D10" s="5">
        <f t="shared" si="0"/>
        <v>9.0833333333332753E-2</v>
      </c>
    </row>
    <row r="11" spans="1:4" x14ac:dyDescent="0.25">
      <c r="A11" t="s">
        <v>18</v>
      </c>
      <c r="B11" s="2">
        <v>3.33</v>
      </c>
      <c r="C11" s="1">
        <v>2.0543806646525602</v>
      </c>
      <c r="D11" s="5">
        <f t="shared" si="0"/>
        <v>6.8410876132930246E-2</v>
      </c>
    </row>
    <row r="12" spans="1:4" x14ac:dyDescent="0.25">
      <c r="A12" t="s">
        <v>9</v>
      </c>
      <c r="B12" s="2">
        <v>8.7799999999999994</v>
      </c>
      <c r="C12" s="27">
        <v>6.8580542264752697</v>
      </c>
      <c r="D12" s="5">
        <f t="shared" si="0"/>
        <v>0.60213716108452864</v>
      </c>
    </row>
    <row r="13" spans="1:4" x14ac:dyDescent="0.25">
      <c r="A13" t="s">
        <v>11</v>
      </c>
      <c r="B13" s="22">
        <v>1.88</v>
      </c>
      <c r="C13" s="1">
        <v>0.29359953024075103</v>
      </c>
      <c r="D13" s="5">
        <f t="shared" si="0"/>
        <v>5.5196711685261187E-3</v>
      </c>
    </row>
    <row r="14" spans="1:4" x14ac:dyDescent="0.25">
      <c r="A14" t="s">
        <v>52</v>
      </c>
      <c r="B14" s="22">
        <v>1.8</v>
      </c>
      <c r="C14" s="1">
        <v>-7.9466666666666601</v>
      </c>
      <c r="D14" s="5">
        <f t="shared" si="0"/>
        <v>-0.14303999999999989</v>
      </c>
    </row>
    <row r="15" spans="1:4" x14ac:dyDescent="0.25">
      <c r="A15" t="s">
        <v>53</v>
      </c>
      <c r="B15" s="22">
        <v>1.1399999999999999</v>
      </c>
      <c r="C15" s="23">
        <v>1.57811678064176</v>
      </c>
      <c r="D15" s="5">
        <f t="shared" si="0"/>
        <v>1.7990531299316062E-2</v>
      </c>
    </row>
    <row r="16" spans="1:4" x14ac:dyDescent="0.25">
      <c r="A16" t="s">
        <v>54</v>
      </c>
      <c r="B16" s="2">
        <v>1.21</v>
      </c>
      <c r="C16" s="1">
        <v>-1.55763239875389</v>
      </c>
      <c r="D16" s="5">
        <f t="shared" si="0"/>
        <v>-1.8847352024922069E-2</v>
      </c>
    </row>
    <row r="17" spans="1:4" x14ac:dyDescent="0.25">
      <c r="A17" t="s">
        <v>55</v>
      </c>
      <c r="B17" s="2">
        <v>1.61</v>
      </c>
      <c r="C17" s="1">
        <v>-2.5786487880350601</v>
      </c>
      <c r="D17" s="5">
        <f t="shared" si="0"/>
        <v>-4.1516245487364475E-2</v>
      </c>
    </row>
    <row r="18" spans="1:4" x14ac:dyDescent="0.25">
      <c r="A18" t="s">
        <v>56</v>
      </c>
      <c r="B18" s="2">
        <v>1.58</v>
      </c>
      <c r="C18" s="1">
        <v>-0.24813895781637699</v>
      </c>
      <c r="D18" s="5">
        <f t="shared" si="0"/>
        <v>-3.9205955334987563E-3</v>
      </c>
    </row>
    <row r="19" spans="1:4" x14ac:dyDescent="0.25">
      <c r="A19" t="s">
        <v>57</v>
      </c>
      <c r="B19" s="2">
        <v>1.04</v>
      </c>
      <c r="C19" s="1">
        <v>3.3333333333333299</v>
      </c>
      <c r="D19" s="5">
        <f t="shared" si="0"/>
        <v>3.466666666666663E-2</v>
      </c>
    </row>
    <row r="20" spans="1:4" x14ac:dyDescent="0.25">
      <c r="A20" t="s">
        <v>58</v>
      </c>
      <c r="B20" s="2">
        <v>0.63</v>
      </c>
      <c r="C20" s="1">
        <v>1.3452914798206199</v>
      </c>
      <c r="D20" s="5">
        <f t="shared" si="0"/>
        <v>8.4753363228699044E-3</v>
      </c>
    </row>
    <row r="21" spans="1:4" x14ac:dyDescent="0.25">
      <c r="A21" t="s">
        <v>59</v>
      </c>
      <c r="B21" s="2">
        <v>1.06</v>
      </c>
      <c r="C21" s="1">
        <v>0</v>
      </c>
      <c r="D21" s="5">
        <f t="shared" si="0"/>
        <v>0</v>
      </c>
    </row>
    <row r="22" spans="1:4" x14ac:dyDescent="0.25">
      <c r="A22" t="s">
        <v>60</v>
      </c>
      <c r="B22" s="2">
        <v>0.77</v>
      </c>
      <c r="C22" s="1">
        <v>-9.3066542577943195E-2</v>
      </c>
      <c r="D22" s="5">
        <f t="shared" si="0"/>
        <v>-7.1661237785016266E-4</v>
      </c>
    </row>
    <row r="23" spans="1:4" x14ac:dyDescent="0.25">
      <c r="A23" t="s">
        <v>61</v>
      </c>
      <c r="B23" s="22">
        <v>0.64</v>
      </c>
      <c r="C23" s="23">
        <v>-0.44125758411472699</v>
      </c>
      <c r="D23" s="5">
        <f t="shared" si="0"/>
        <v>-2.8240485383342531E-3</v>
      </c>
    </row>
    <row r="24" spans="1:4" x14ac:dyDescent="0.25">
      <c r="A24" t="s">
        <v>62</v>
      </c>
      <c r="B24" s="22">
        <v>0.82</v>
      </c>
      <c r="C24" s="23">
        <v>0.678175092478421</v>
      </c>
      <c r="D24" s="5">
        <f t="shared" si="0"/>
        <v>5.5610357583230517E-3</v>
      </c>
    </row>
    <row r="25" spans="1:4" x14ac:dyDescent="0.25">
      <c r="A25" t="s">
        <v>63</v>
      </c>
      <c r="B25" s="22">
        <v>0.88</v>
      </c>
      <c r="C25" s="23">
        <v>0.870253164556962</v>
      </c>
      <c r="D25" s="5">
        <f t="shared" si="0"/>
        <v>7.6582278481012655E-3</v>
      </c>
    </row>
    <row r="26" spans="1:4" x14ac:dyDescent="0.25">
      <c r="A26" t="s">
        <v>64</v>
      </c>
      <c r="B26" s="22">
        <v>0.63</v>
      </c>
      <c r="C26" s="23">
        <v>0.38910505836575798</v>
      </c>
      <c r="D26" s="5">
        <f t="shared" si="0"/>
        <v>2.4513618677042752E-3</v>
      </c>
    </row>
    <row r="27" spans="1:4" x14ac:dyDescent="0.25">
      <c r="A27" t="s">
        <v>65</v>
      </c>
      <c r="B27" s="22">
        <v>0.8</v>
      </c>
      <c r="C27" s="23">
        <v>0.13917884481558801</v>
      </c>
      <c r="D27" s="5">
        <f t="shared" si="0"/>
        <v>1.1134307585247041E-3</v>
      </c>
    </row>
    <row r="28" spans="1:4" x14ac:dyDescent="0.25">
      <c r="A28" t="s">
        <v>66</v>
      </c>
      <c r="B28" s="22">
        <v>0.57999999999999996</v>
      </c>
      <c r="C28" s="23">
        <v>-3.0820293978188702</v>
      </c>
      <c r="D28" s="5">
        <f t="shared" si="0"/>
        <v>-1.7875770507349446E-2</v>
      </c>
    </row>
    <row r="29" spans="1:4" x14ac:dyDescent="0.25">
      <c r="A29" t="s">
        <v>67</v>
      </c>
      <c r="B29" s="22">
        <v>0.56000000000000005</v>
      </c>
      <c r="C29" s="23">
        <v>-0.35714285714285698</v>
      </c>
      <c r="D29" s="5">
        <f t="shared" si="0"/>
        <v>-1.9999999999999992E-3</v>
      </c>
    </row>
    <row r="30" spans="1:4" x14ac:dyDescent="0.25">
      <c r="A30" t="s">
        <v>68</v>
      </c>
      <c r="B30" s="22">
        <v>0.55000000000000004</v>
      </c>
      <c r="C30" s="23">
        <v>-1.79245283018867</v>
      </c>
      <c r="D30" s="5">
        <f t="shared" si="0"/>
        <v>-9.8584905660376847E-3</v>
      </c>
    </row>
    <row r="31" spans="1:4" x14ac:dyDescent="0.25">
      <c r="A31" t="s">
        <v>69</v>
      </c>
      <c r="B31" s="22">
        <v>0.52</v>
      </c>
      <c r="C31" s="23">
        <v>2.1673690547862701</v>
      </c>
      <c r="D31" s="5">
        <f t="shared" si="0"/>
        <v>1.1270319084888604E-2</v>
      </c>
    </row>
    <row r="32" spans="1:4" x14ac:dyDescent="0.25">
      <c r="A32" t="s">
        <v>70</v>
      </c>
      <c r="B32" s="22">
        <v>0.5</v>
      </c>
      <c r="C32" s="23">
        <v>1.5278838808250499</v>
      </c>
      <c r="D32" s="5">
        <f t="shared" si="0"/>
        <v>7.6394194041252495E-3</v>
      </c>
    </row>
    <row r="33" spans="1:4" x14ac:dyDescent="0.25">
      <c r="A33" t="s">
        <v>71</v>
      </c>
      <c r="B33" s="22">
        <v>0.36</v>
      </c>
      <c r="C33" s="23">
        <v>1.79461615154536</v>
      </c>
      <c r="D33" s="5">
        <f t="shared" si="0"/>
        <v>6.4606181455632962E-3</v>
      </c>
    </row>
    <row r="34" spans="1:4" x14ac:dyDescent="0.25">
      <c r="A34" t="s">
        <v>72</v>
      </c>
      <c r="B34" s="22">
        <v>0.47</v>
      </c>
      <c r="C34" s="23">
        <v>-0.84348641049671902</v>
      </c>
      <c r="D34" s="5">
        <f t="shared" si="0"/>
        <v>-3.9643861293345789E-3</v>
      </c>
    </row>
    <row r="35" spans="1:4" x14ac:dyDescent="0.25">
      <c r="A35" t="s">
        <v>73</v>
      </c>
      <c r="B35" s="22">
        <v>0.46</v>
      </c>
      <c r="C35" s="23">
        <v>2.0611702127659499</v>
      </c>
      <c r="D35" s="5">
        <f t="shared" si="0"/>
        <v>9.4813829787233697E-3</v>
      </c>
    </row>
    <row r="36" spans="1:4" x14ac:dyDescent="0.25">
      <c r="A36" t="s">
        <v>74</v>
      </c>
      <c r="B36" s="22">
        <v>0.37</v>
      </c>
      <c r="C36" s="23">
        <v>-0.369344413665743</v>
      </c>
      <c r="D36" s="5">
        <f t="shared" si="0"/>
        <v>-1.366574330563249E-3</v>
      </c>
    </row>
    <row r="37" spans="1:4" x14ac:dyDescent="0.25">
      <c r="A37" t="s">
        <v>75</v>
      </c>
      <c r="B37" s="22">
        <v>0.45</v>
      </c>
      <c r="C37" s="23">
        <v>1.1875</v>
      </c>
      <c r="D37" s="5">
        <f t="shared" si="0"/>
        <v>5.3437500000000004E-3</v>
      </c>
    </row>
    <row r="38" spans="1:4" x14ac:dyDescent="0.25">
      <c r="A38" t="s">
        <v>76</v>
      </c>
      <c r="B38" s="22">
        <v>0.4</v>
      </c>
      <c r="C38" s="23">
        <v>0.38986354775828402</v>
      </c>
      <c r="D38" s="5">
        <f t="shared" si="0"/>
        <v>1.5594541910331362E-3</v>
      </c>
    </row>
    <row r="39" spans="1:4" x14ac:dyDescent="0.25">
      <c r="A39" t="s">
        <v>15</v>
      </c>
      <c r="B39" s="22">
        <v>0.52</v>
      </c>
      <c r="C39" s="23">
        <v>6.2706270627062697</v>
      </c>
      <c r="D39" s="5">
        <f t="shared" si="0"/>
        <v>3.2607260726072604E-2</v>
      </c>
    </row>
    <row r="40" spans="1:4" x14ac:dyDescent="0.25">
      <c r="A40" t="s">
        <v>77</v>
      </c>
      <c r="B40" s="22">
        <v>0.39</v>
      </c>
      <c r="C40" s="23">
        <v>0.54229934924078005</v>
      </c>
      <c r="D40" s="5">
        <f t="shared" si="0"/>
        <v>2.1149674620390426E-3</v>
      </c>
    </row>
    <row r="41" spans="1:4" x14ac:dyDescent="0.25">
      <c r="A41" t="s">
        <v>78</v>
      </c>
      <c r="B41" s="22">
        <v>0.34</v>
      </c>
      <c r="C41" s="23">
        <v>-0.45307443365695699</v>
      </c>
      <c r="D41" s="5">
        <f t="shared" si="0"/>
        <v>-1.5404530744336539E-3</v>
      </c>
    </row>
    <row r="42" spans="1:4" x14ac:dyDescent="0.25">
      <c r="A42" t="s">
        <v>79</v>
      </c>
      <c r="B42" s="22">
        <v>0.3</v>
      </c>
      <c r="C42" s="23">
        <v>-2.8125</v>
      </c>
      <c r="D42" s="5">
        <f t="shared" si="0"/>
        <v>-8.4375000000000006E-3</v>
      </c>
    </row>
    <row r="43" spans="1:4" x14ac:dyDescent="0.25">
      <c r="A43" t="s">
        <v>80</v>
      </c>
      <c r="B43" s="22">
        <v>0.19</v>
      </c>
      <c r="C43" s="23">
        <v>6.8376068376068302</v>
      </c>
      <c r="D43" s="5">
        <f t="shared" si="0"/>
        <v>1.2991452991452979E-2</v>
      </c>
    </row>
    <row r="44" spans="1:4" x14ac:dyDescent="0.25">
      <c r="A44" t="s">
        <v>14</v>
      </c>
      <c r="B44" s="22">
        <v>0.05</v>
      </c>
      <c r="C44" s="23">
        <v>-9.9703264094955397</v>
      </c>
      <c r="D44" s="5">
        <f t="shared" si="0"/>
        <v>-4.9851632047477699E-3</v>
      </c>
    </row>
    <row r="45" spans="1:4" x14ac:dyDescent="0.25">
      <c r="A45" t="s">
        <v>81</v>
      </c>
      <c r="B45" s="22">
        <v>0.22</v>
      </c>
      <c r="C45" s="23">
        <v>-3.7406483790523599</v>
      </c>
      <c r="D45" s="5">
        <f t="shared" si="0"/>
        <v>-8.2294264339151917E-3</v>
      </c>
    </row>
    <row r="46" spans="1:4" x14ac:dyDescent="0.25">
      <c r="A46" t="s">
        <v>82</v>
      </c>
      <c r="B46" s="22">
        <v>0.08</v>
      </c>
      <c r="C46" s="23">
        <v>0.74441687344913099</v>
      </c>
      <c r="D46" s="5">
        <f t="shared" si="0"/>
        <v>5.9553349875930478E-4</v>
      </c>
    </row>
    <row r="47" spans="1:4" x14ac:dyDescent="0.25">
      <c r="A47" t="s">
        <v>83</v>
      </c>
      <c r="B47" s="22">
        <v>0.01</v>
      </c>
      <c r="C47" s="23">
        <v>-1.1981566820276499</v>
      </c>
      <c r="D47" s="5">
        <f t="shared" si="0"/>
        <v>-1.1981566820276499E-4</v>
      </c>
    </row>
    <row r="48" spans="1:4" x14ac:dyDescent="0.25">
      <c r="A48" t="s">
        <v>84</v>
      </c>
      <c r="B48" s="22">
        <v>3.34</v>
      </c>
      <c r="C48" s="23">
        <v>0.12</v>
      </c>
      <c r="D48" s="5">
        <f t="shared" si="0"/>
        <v>4.0080000000000003E-3</v>
      </c>
    </row>
    <row r="49" spans="1:6" x14ac:dyDescent="0.25">
      <c r="A49" t="s">
        <v>85</v>
      </c>
      <c r="B49" s="22">
        <v>0.12</v>
      </c>
      <c r="C49" s="23">
        <v>0.35</v>
      </c>
      <c r="D49" s="5">
        <f t="shared" si="0"/>
        <v>4.1999999999999996E-4</v>
      </c>
    </row>
    <row r="50" spans="1:6" x14ac:dyDescent="0.25">
      <c r="A50" s="12" t="s">
        <v>24</v>
      </c>
      <c r="B50" s="3">
        <f>SUM(B2:B49)</f>
        <v>87.559999999999974</v>
      </c>
      <c r="C50" s="3"/>
      <c r="D50" s="4">
        <f>SUM(D2:D49)</f>
        <v>3.2610279965147287E-2</v>
      </c>
    </row>
    <row r="60" spans="1:6" x14ac:dyDescent="0.25">
      <c r="A60" s="3"/>
      <c r="B60" s="29"/>
      <c r="C60" s="29"/>
      <c r="D60" s="16"/>
      <c r="E60" s="3"/>
      <c r="F60" s="3"/>
    </row>
    <row r="61" spans="1:6" x14ac:dyDescent="0.25">
      <c r="A61" s="19"/>
      <c r="B61" s="28"/>
      <c r="C61" s="28"/>
      <c r="D61" s="17"/>
      <c r="E61" s="17"/>
      <c r="F61" s="20"/>
    </row>
    <row r="62" spans="1:6" x14ac:dyDescent="0.25">
      <c r="A62" s="19"/>
      <c r="B62" s="28"/>
      <c r="C62" s="28"/>
      <c r="D62" s="17"/>
      <c r="E62" s="17"/>
      <c r="F62" s="20"/>
    </row>
    <row r="63" spans="1:6" x14ac:dyDescent="0.25">
      <c r="A63" s="19"/>
      <c r="B63" s="28"/>
      <c r="C63" s="28"/>
      <c r="D63" s="17"/>
      <c r="E63" s="17"/>
      <c r="F63" s="20"/>
    </row>
    <row r="64" spans="1:6" x14ac:dyDescent="0.25">
      <c r="A64" s="19"/>
      <c r="B64" s="28"/>
      <c r="C64" s="28"/>
      <c r="D64" s="17"/>
      <c r="E64" s="17"/>
      <c r="F64" s="20"/>
    </row>
    <row r="65" spans="1:6" x14ac:dyDescent="0.25">
      <c r="A65" s="19"/>
      <c r="B65" s="28"/>
      <c r="C65" s="28"/>
      <c r="D65" s="17"/>
      <c r="E65" s="17"/>
      <c r="F65" s="20"/>
    </row>
    <row r="66" spans="1:6" x14ac:dyDescent="0.25">
      <c r="A66" s="19"/>
      <c r="B66" s="28"/>
      <c r="C66" s="28"/>
      <c r="D66" s="17"/>
      <c r="E66" s="17"/>
      <c r="F66" s="20"/>
    </row>
    <row r="67" spans="1:6" x14ac:dyDescent="0.25">
      <c r="A67" s="19"/>
      <c r="B67" s="28"/>
      <c r="C67" s="28"/>
      <c r="D67" s="17"/>
      <c r="E67" s="17"/>
      <c r="F67" s="20"/>
    </row>
    <row r="68" spans="1:6" x14ac:dyDescent="0.25">
      <c r="A68" s="19"/>
      <c r="B68" s="28"/>
      <c r="C68" s="28"/>
      <c r="D68" s="17"/>
      <c r="E68" s="17"/>
      <c r="F68" s="20"/>
    </row>
    <row r="69" spans="1:6" x14ac:dyDescent="0.25">
      <c r="A69" s="19"/>
      <c r="B69" s="28"/>
      <c r="C69" s="28"/>
      <c r="D69" s="17"/>
      <c r="E69" s="17"/>
      <c r="F69" s="20"/>
    </row>
    <row r="70" spans="1:6" x14ac:dyDescent="0.25">
      <c r="A70" s="19"/>
      <c r="B70" s="28"/>
      <c r="C70" s="28"/>
      <c r="D70" s="17"/>
      <c r="E70" s="17"/>
      <c r="F70" s="20"/>
    </row>
    <row r="71" spans="1:6" x14ac:dyDescent="0.25">
      <c r="A71" s="19"/>
      <c r="B71" s="28"/>
      <c r="C71" s="28"/>
      <c r="D71" s="17"/>
      <c r="E71" s="17"/>
      <c r="F71" s="20"/>
    </row>
    <row r="72" spans="1:6" x14ac:dyDescent="0.25">
      <c r="A72" s="19"/>
      <c r="B72" s="28"/>
      <c r="C72" s="28"/>
      <c r="D72" s="17"/>
      <c r="E72" s="17"/>
      <c r="F72" s="20"/>
    </row>
    <row r="73" spans="1:6" x14ac:dyDescent="0.25">
      <c r="A73" s="19"/>
      <c r="B73" s="28"/>
      <c r="C73" s="28"/>
      <c r="D73" s="17"/>
      <c r="E73" s="17"/>
      <c r="F73" s="20"/>
    </row>
    <row r="74" spans="1:6" x14ac:dyDescent="0.25">
      <c r="F74" s="20"/>
    </row>
    <row r="75" spans="1:6" x14ac:dyDescent="0.25">
      <c r="F75" s="20"/>
    </row>
    <row r="76" spans="1:6" x14ac:dyDescent="0.25">
      <c r="F76" s="20"/>
    </row>
    <row r="77" spans="1:6" x14ac:dyDescent="0.25">
      <c r="F77" s="20"/>
    </row>
    <row r="78" spans="1:6" x14ac:dyDescent="0.25">
      <c r="F78" s="20"/>
    </row>
  </sheetData>
  <mergeCells count="14">
    <mergeCell ref="B73:C73"/>
    <mergeCell ref="B72:C72"/>
    <mergeCell ref="B65:C65"/>
    <mergeCell ref="B71:C71"/>
    <mergeCell ref="B60:C60"/>
    <mergeCell ref="B61:C61"/>
    <mergeCell ref="B62:C62"/>
    <mergeCell ref="B63:C63"/>
    <mergeCell ref="B64:C64"/>
    <mergeCell ref="B70:C70"/>
    <mergeCell ref="B69:C69"/>
    <mergeCell ref="B68:C68"/>
    <mergeCell ref="B66:C66"/>
    <mergeCell ref="B67:C6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6"/>
  <sheetViews>
    <sheetView workbookViewId="0">
      <selection activeCell="B2" sqref="B2:C34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s="2" t="s">
        <v>78</v>
      </c>
      <c r="B2" s="2">
        <v>4.3899999999999997</v>
      </c>
      <c r="C2" s="1">
        <v>-0.45307443365695699</v>
      </c>
      <c r="D2" s="5">
        <f>B2*C2/100</f>
        <v>-1.9889967637540411E-2</v>
      </c>
    </row>
    <row r="3" spans="1:4" x14ac:dyDescent="0.25">
      <c r="A3" s="2" t="s">
        <v>4</v>
      </c>
      <c r="B3" s="2">
        <v>5.54</v>
      </c>
      <c r="C3" s="1">
        <v>-0.31023784901758</v>
      </c>
      <c r="D3" s="5">
        <f>B3*C3/100</f>
        <v>-1.7187176835573931E-2</v>
      </c>
    </row>
    <row r="4" spans="1:4" x14ac:dyDescent="0.25">
      <c r="A4" s="2" t="s">
        <v>8</v>
      </c>
      <c r="B4" s="2">
        <v>3.78</v>
      </c>
      <c r="C4" s="1">
        <v>1.3333333333333299</v>
      </c>
      <c r="D4" s="5">
        <f t="shared" ref="D4:D34" si="0">B4*C4/100</f>
        <v>5.0399999999999869E-2</v>
      </c>
    </row>
    <row r="5" spans="1:4" x14ac:dyDescent="0.25">
      <c r="A5" s="2" t="s">
        <v>6</v>
      </c>
      <c r="B5" s="2">
        <v>2.61</v>
      </c>
      <c r="C5" s="1">
        <v>1.38888888888888</v>
      </c>
      <c r="D5" s="5">
        <f t="shared" si="0"/>
        <v>3.6249999999999762E-2</v>
      </c>
    </row>
    <row r="6" spans="1:4" x14ac:dyDescent="0.25">
      <c r="A6" s="2" t="s">
        <v>15</v>
      </c>
      <c r="B6" s="2">
        <v>7.64</v>
      </c>
      <c r="C6" s="1">
        <v>6.2706270627062697</v>
      </c>
      <c r="D6" s="5">
        <f t="shared" si="0"/>
        <v>0.47907590759075902</v>
      </c>
    </row>
    <row r="7" spans="1:4" x14ac:dyDescent="0.25">
      <c r="A7" s="2" t="s">
        <v>18</v>
      </c>
      <c r="B7" s="2">
        <v>7.58</v>
      </c>
      <c r="C7" s="1">
        <v>2.0543806646525602</v>
      </c>
      <c r="D7" s="5">
        <f t="shared" si="0"/>
        <v>0.15572205438066405</v>
      </c>
    </row>
    <row r="8" spans="1:4" x14ac:dyDescent="0.25">
      <c r="A8" s="2" t="s">
        <v>21</v>
      </c>
      <c r="B8" s="2">
        <v>2.12</v>
      </c>
      <c r="C8" s="1">
        <v>-8.18128310771041</v>
      </c>
      <c r="D8" s="5">
        <f t="shared" si="0"/>
        <v>-0.17344320188346071</v>
      </c>
    </row>
    <row r="9" spans="1:4" x14ac:dyDescent="0.25">
      <c r="A9" s="2" t="s">
        <v>9</v>
      </c>
      <c r="B9" s="2">
        <v>4.08</v>
      </c>
      <c r="C9" s="1">
        <v>6.8580542264752697</v>
      </c>
      <c r="D9" s="5">
        <f t="shared" si="0"/>
        <v>0.27980861244019101</v>
      </c>
    </row>
    <row r="10" spans="1:4" x14ac:dyDescent="0.25">
      <c r="A10" s="2" t="s">
        <v>86</v>
      </c>
      <c r="B10" s="2">
        <v>2.27</v>
      </c>
      <c r="C10" s="1">
        <v>-9.9587507365939896</v>
      </c>
      <c r="D10" s="5">
        <f t="shared" si="0"/>
        <v>-0.22606364172068358</v>
      </c>
    </row>
    <row r="11" spans="1:4" x14ac:dyDescent="0.25">
      <c r="A11" s="2" t="s">
        <v>32</v>
      </c>
      <c r="B11" s="2">
        <v>1.84</v>
      </c>
      <c r="C11" s="1">
        <v>-1.187648456057</v>
      </c>
      <c r="D11" s="5">
        <f t="shared" si="0"/>
        <v>-2.18527315914488E-2</v>
      </c>
    </row>
    <row r="12" spans="1:4" x14ac:dyDescent="0.25">
      <c r="A12" s="2" t="s">
        <v>87</v>
      </c>
      <c r="B12" s="2">
        <v>2.67</v>
      </c>
      <c r="C12" s="1">
        <v>0.82146768893756805</v>
      </c>
      <c r="D12" s="5">
        <f t="shared" si="0"/>
        <v>2.1933187294633068E-2</v>
      </c>
    </row>
    <row r="13" spans="1:4" x14ac:dyDescent="0.25">
      <c r="A13" s="2" t="s">
        <v>56</v>
      </c>
      <c r="B13" s="2">
        <v>2.25</v>
      </c>
      <c r="C13" s="1">
        <v>-0.24813895781637699</v>
      </c>
      <c r="D13" s="5">
        <f t="shared" si="0"/>
        <v>-5.5831265508684827E-3</v>
      </c>
    </row>
    <row r="14" spans="1:4" x14ac:dyDescent="0.25">
      <c r="A14" s="2" t="s">
        <v>88</v>
      </c>
      <c r="B14" s="2">
        <v>3.16</v>
      </c>
      <c r="C14" s="1">
        <v>-2.3480662983425402</v>
      </c>
      <c r="D14" s="5">
        <f t="shared" si="0"/>
        <v>-7.4198895027624279E-2</v>
      </c>
    </row>
    <row r="15" spans="1:4" x14ac:dyDescent="0.25">
      <c r="A15" s="2" t="s">
        <v>89</v>
      </c>
      <c r="B15" s="2">
        <v>1.68</v>
      </c>
      <c r="C15" s="1">
        <v>0</v>
      </c>
      <c r="D15" s="5">
        <f t="shared" si="0"/>
        <v>0</v>
      </c>
    </row>
    <row r="16" spans="1:4" x14ac:dyDescent="0.25">
      <c r="A16" s="2" t="s">
        <v>90</v>
      </c>
      <c r="B16" s="2">
        <v>2.4300000000000002</v>
      </c>
      <c r="C16" s="1">
        <v>-9.9616858237547898</v>
      </c>
      <c r="D16" s="5">
        <f t="shared" si="0"/>
        <v>-0.24206896551724141</v>
      </c>
    </row>
    <row r="17" spans="1:5" x14ac:dyDescent="0.25">
      <c r="A17" s="2" t="s">
        <v>91</v>
      </c>
      <c r="B17" s="2">
        <v>2.0499999999999998</v>
      </c>
      <c r="C17" s="1">
        <v>-2.0610057708161502</v>
      </c>
      <c r="D17" s="5">
        <f t="shared" si="0"/>
        <v>-4.2250618301731074E-2</v>
      </c>
    </row>
    <row r="18" spans="1:5" x14ac:dyDescent="0.25">
      <c r="A18" s="2" t="s">
        <v>92</v>
      </c>
      <c r="B18" s="2">
        <v>0.83</v>
      </c>
      <c r="C18" s="1">
        <v>-5.55555555555555</v>
      </c>
      <c r="D18" s="5">
        <f t="shared" si="0"/>
        <v>-4.6111111111111061E-2</v>
      </c>
    </row>
    <row r="19" spans="1:5" x14ac:dyDescent="0.25">
      <c r="A19" s="2" t="s">
        <v>93</v>
      </c>
      <c r="B19" s="2">
        <v>2.44</v>
      </c>
      <c r="C19" s="1">
        <v>-1.8377693282636201</v>
      </c>
      <c r="D19" s="5">
        <f t="shared" si="0"/>
        <v>-4.4841571609632327E-2</v>
      </c>
    </row>
    <row r="20" spans="1:5" x14ac:dyDescent="0.25">
      <c r="A20" s="2" t="s">
        <v>10</v>
      </c>
      <c r="B20" s="2">
        <v>9.6560000000000006</v>
      </c>
      <c r="C20" s="1">
        <v>1.3123359580052401</v>
      </c>
      <c r="D20" s="5">
        <f t="shared" si="0"/>
        <v>0.12671916010498599</v>
      </c>
    </row>
    <row r="21" spans="1:5" x14ac:dyDescent="0.25">
      <c r="A21" s="2" t="s">
        <v>66</v>
      </c>
      <c r="B21" s="2">
        <v>1.6</v>
      </c>
      <c r="C21" s="1">
        <v>-3.0820293978188702</v>
      </c>
      <c r="D21" s="5">
        <f t="shared" si="0"/>
        <v>-4.9312470365101932E-2</v>
      </c>
    </row>
    <row r="22" spans="1:5" x14ac:dyDescent="0.25">
      <c r="A22" s="2" t="s">
        <v>13</v>
      </c>
      <c r="B22" s="2">
        <v>2.59</v>
      </c>
      <c r="C22" s="1">
        <v>1.19695321001088</v>
      </c>
      <c r="D22" s="5">
        <f t="shared" si="0"/>
        <v>3.1001088139281787E-2</v>
      </c>
    </row>
    <row r="23" spans="1:5" x14ac:dyDescent="0.25">
      <c r="A23" s="2" t="s">
        <v>94</v>
      </c>
      <c r="B23" s="2">
        <v>1.56</v>
      </c>
      <c r="C23" s="1">
        <v>-2.4764150943396199</v>
      </c>
      <c r="D23" s="5">
        <f t="shared" si="0"/>
        <v>-3.8632075471698071E-2</v>
      </c>
    </row>
    <row r="24" spans="1:5" x14ac:dyDescent="0.25">
      <c r="A24" s="2" t="s">
        <v>7</v>
      </c>
      <c r="B24" s="2">
        <v>1.39</v>
      </c>
      <c r="C24" s="1">
        <v>-9.9682539682539595</v>
      </c>
      <c r="D24" s="5">
        <f t="shared" si="0"/>
        <v>-0.13855873015873002</v>
      </c>
    </row>
    <row r="25" spans="1:5" x14ac:dyDescent="0.25">
      <c r="A25" s="2" t="s">
        <v>95</v>
      </c>
      <c r="B25" s="2">
        <v>1.6</v>
      </c>
      <c r="C25" s="1">
        <v>-10</v>
      </c>
      <c r="D25" s="5">
        <f t="shared" si="0"/>
        <v>-0.16</v>
      </c>
    </row>
    <row r="26" spans="1:5" x14ac:dyDescent="0.25">
      <c r="A26" s="2" t="s">
        <v>16</v>
      </c>
      <c r="B26" s="2">
        <v>5.8</v>
      </c>
      <c r="C26" s="1">
        <v>0.11074197120708699</v>
      </c>
      <c r="D26" s="5">
        <f t="shared" si="0"/>
        <v>6.4230343300110456E-3</v>
      </c>
    </row>
    <row r="27" spans="1:5" x14ac:dyDescent="0.25">
      <c r="A27" s="2" t="s">
        <v>96</v>
      </c>
      <c r="B27" s="2">
        <v>1.76</v>
      </c>
      <c r="C27" s="1">
        <v>0.62460961898813205</v>
      </c>
      <c r="D27" s="5">
        <f t="shared" si="0"/>
        <v>1.0993129294191124E-2</v>
      </c>
    </row>
    <row r="28" spans="1:5" x14ac:dyDescent="0.25">
      <c r="A28" s="2" t="s">
        <v>97</v>
      </c>
      <c r="B28" s="2">
        <v>0.99</v>
      </c>
      <c r="C28" s="1">
        <v>-1.3146734520780301</v>
      </c>
      <c r="D28" s="5">
        <f t="shared" si="0"/>
        <v>-1.3015267175572498E-2</v>
      </c>
    </row>
    <row r="29" spans="1:5" x14ac:dyDescent="0.25">
      <c r="A29" s="2" t="s">
        <v>98</v>
      </c>
      <c r="B29" s="2">
        <v>1.59</v>
      </c>
      <c r="C29" s="1">
        <v>-7.6064200976971303</v>
      </c>
      <c r="D29" s="5">
        <f t="shared" si="0"/>
        <v>-0.12094207955338439</v>
      </c>
      <c r="E29" s="2"/>
    </row>
    <row r="30" spans="1:5" x14ac:dyDescent="0.25">
      <c r="A30" s="2" t="s">
        <v>99</v>
      </c>
      <c r="B30" s="2">
        <v>0.61</v>
      </c>
      <c r="C30" s="23">
        <v>-1.77880897138437</v>
      </c>
      <c r="D30" s="5">
        <f t="shared" si="0"/>
        <v>-1.0850734725444657E-2</v>
      </c>
      <c r="E30" s="13"/>
    </row>
    <row r="31" spans="1:5" x14ac:dyDescent="0.25">
      <c r="A31" s="2" t="s">
        <v>17</v>
      </c>
      <c r="B31" s="2">
        <v>0.6</v>
      </c>
      <c r="C31" s="1">
        <v>-9.9902534113060408</v>
      </c>
      <c r="D31" s="5">
        <f t="shared" si="0"/>
        <v>-5.9941520467836247E-2</v>
      </c>
    </row>
    <row r="32" spans="1:5" x14ac:dyDescent="0.25">
      <c r="A32" s="2" t="s">
        <v>100</v>
      </c>
      <c r="B32" s="2">
        <v>0.49</v>
      </c>
      <c r="C32" s="1">
        <v>2.2053231939163398</v>
      </c>
      <c r="D32" s="5">
        <f t="shared" si="0"/>
        <v>1.0806083650190066E-2</v>
      </c>
      <c r="E32" s="3"/>
    </row>
    <row r="33" spans="1:5" x14ac:dyDescent="0.25">
      <c r="A33" s="2" t="s">
        <v>101</v>
      </c>
      <c r="B33" s="2">
        <v>0.91</v>
      </c>
      <c r="C33" s="23">
        <v>-3.13953488372093</v>
      </c>
      <c r="D33" s="5">
        <f t="shared" si="0"/>
        <v>-2.8569767441860464E-2</v>
      </c>
      <c r="E33" s="17"/>
    </row>
    <row r="34" spans="1:5" x14ac:dyDescent="0.25">
      <c r="A34" s="2" t="s">
        <v>102</v>
      </c>
      <c r="B34" s="2">
        <v>0.05</v>
      </c>
      <c r="C34" s="1">
        <v>-4.8780487804878003</v>
      </c>
      <c r="D34" s="5">
        <f t="shared" si="0"/>
        <v>-2.4390243902439003E-3</v>
      </c>
      <c r="E34" s="18"/>
    </row>
    <row r="35" spans="1:5" x14ac:dyDescent="0.25">
      <c r="A35" s="12" t="s">
        <v>24</v>
      </c>
      <c r="B35" s="4">
        <f>SUM(B2:B34)</f>
        <v>90.555999999999983</v>
      </c>
      <c r="C35" s="3"/>
      <c r="D35" s="4">
        <f>SUM(D2:D34)</f>
        <v>-0.3266204203118816</v>
      </c>
      <c r="E35" s="18"/>
    </row>
    <row r="36" spans="1:5" x14ac:dyDescent="0.25">
      <c r="A36" s="14"/>
      <c r="B36" s="28"/>
      <c r="C36" s="28"/>
      <c r="D36" s="21"/>
      <c r="E36" s="18"/>
    </row>
    <row r="37" spans="1:5" x14ac:dyDescent="0.25">
      <c r="A37" s="14"/>
      <c r="B37" s="28"/>
      <c r="C37" s="28"/>
      <c r="D37" s="21"/>
      <c r="E37" s="18"/>
    </row>
    <row r="38" spans="1:5" x14ac:dyDescent="0.25">
      <c r="A38" s="14"/>
      <c r="B38" s="28"/>
      <c r="C38" s="28"/>
      <c r="D38" s="21"/>
      <c r="E38" s="18"/>
    </row>
    <row r="39" spans="1:5" x14ac:dyDescent="0.25">
      <c r="A39" s="14"/>
      <c r="B39" s="28"/>
      <c r="C39" s="28"/>
      <c r="D39" s="21"/>
      <c r="E39" s="18"/>
    </row>
    <row r="40" spans="1:5" x14ac:dyDescent="0.25">
      <c r="A40" s="14"/>
      <c r="B40" s="28"/>
      <c r="C40" s="28"/>
      <c r="D40" s="21"/>
      <c r="E40" s="18"/>
    </row>
    <row r="41" spans="1:5" x14ac:dyDescent="0.25">
      <c r="A41" s="14"/>
      <c r="B41" s="28"/>
      <c r="C41" s="28"/>
      <c r="D41" s="21"/>
      <c r="E41" s="18"/>
    </row>
    <row r="42" spans="1:5" x14ac:dyDescent="0.25">
      <c r="A42" s="14"/>
      <c r="B42" s="28"/>
      <c r="C42" s="28"/>
      <c r="D42" s="21"/>
      <c r="E42" s="18"/>
    </row>
    <row r="43" spans="1:5" x14ac:dyDescent="0.25">
      <c r="A43" s="14"/>
      <c r="B43" s="28"/>
      <c r="C43" s="28"/>
      <c r="D43" s="21"/>
      <c r="E43" s="18"/>
    </row>
    <row r="44" spans="1:5" x14ac:dyDescent="0.25">
      <c r="A44" s="14"/>
      <c r="B44" s="28"/>
      <c r="C44" s="28"/>
      <c r="D44" s="21"/>
      <c r="E44" s="18"/>
    </row>
    <row r="45" spans="1:5" x14ac:dyDescent="0.25">
      <c r="A45" s="14"/>
      <c r="B45" s="28"/>
      <c r="C45" s="28"/>
      <c r="D45" s="21"/>
      <c r="E45" s="18"/>
    </row>
    <row r="46" spans="1:5" x14ac:dyDescent="0.25">
      <c r="A46" s="14"/>
      <c r="B46" s="28"/>
      <c r="C46" s="28"/>
      <c r="D46" s="21"/>
      <c r="E46" s="18"/>
    </row>
  </sheetData>
  <mergeCells count="11">
    <mergeCell ref="B42:C42"/>
    <mergeCell ref="B43:C43"/>
    <mergeCell ref="B44:C44"/>
    <mergeCell ref="B45:C45"/>
    <mergeCell ref="B46:C46"/>
    <mergeCell ref="B41:C41"/>
    <mergeCell ref="B36:C36"/>
    <mergeCell ref="B37:C37"/>
    <mergeCell ref="B38:C38"/>
    <mergeCell ref="B39:C39"/>
    <mergeCell ref="B40:C4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2"/>
  <sheetViews>
    <sheetView tabSelected="1" workbookViewId="0">
      <selection activeCell="B2" sqref="B2:C21"/>
    </sheetView>
  </sheetViews>
  <sheetFormatPr defaultRowHeight="15" x14ac:dyDescent="0.25"/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s="2" t="s">
        <v>4</v>
      </c>
      <c r="B2" s="2">
        <v>13.6</v>
      </c>
      <c r="C2" s="6" cm="1">
        <f t="array" ref="C2">[1]!OZATD.GUNFY</f>
        <v>-0.31023784901758</v>
      </c>
      <c r="D2" s="5">
        <f>B2*C2/100</f>
        <v>-4.2192347466390875E-2</v>
      </c>
    </row>
    <row r="3" spans="1:4" x14ac:dyDescent="0.25">
      <c r="A3" s="2" t="s">
        <v>6</v>
      </c>
      <c r="B3" s="2">
        <v>5.07</v>
      </c>
      <c r="C3" s="6" cm="1">
        <f t="array" ref="C3">[1]!TEHOL.GUNFY</f>
        <v>1.38888888888888</v>
      </c>
      <c r="D3" s="5">
        <f>B3*C3/100</f>
        <v>7.0416666666666211E-2</v>
      </c>
    </row>
    <row r="4" spans="1:4" x14ac:dyDescent="0.25">
      <c r="A4" s="2" t="s">
        <v>12</v>
      </c>
      <c r="B4" s="2">
        <v>12.78</v>
      </c>
      <c r="C4" s="6" cm="1">
        <f t="array" ref="C4">[1]!SELEC.GUNFY</f>
        <v>1.3493253373313301</v>
      </c>
      <c r="D4" s="5">
        <f t="shared" ref="D4:D21" si="0">B4*C4/100</f>
        <v>0.172443778110944</v>
      </c>
    </row>
    <row r="5" spans="1:4" x14ac:dyDescent="0.25">
      <c r="A5" s="2" t="s">
        <v>10</v>
      </c>
      <c r="B5" s="2">
        <v>12.37</v>
      </c>
      <c r="C5" s="6" cm="1">
        <f t="array" ref="C5">[1]!ANELE.GUNFY</f>
        <v>1.3123359580052401</v>
      </c>
      <c r="D5" s="5">
        <f t="shared" si="0"/>
        <v>0.16233595800524817</v>
      </c>
    </row>
    <row r="6" spans="1:4" x14ac:dyDescent="0.25">
      <c r="A6" s="2" t="s">
        <v>9</v>
      </c>
      <c r="B6" s="2">
        <v>11.47</v>
      </c>
      <c r="C6" s="6" cm="1">
        <f t="array" ref="C6">[1]!TRHOL.GUNFY</f>
        <v>6.8580542264752697</v>
      </c>
      <c r="D6" s="5">
        <f t="shared" si="0"/>
        <v>0.78661881977671344</v>
      </c>
    </row>
    <row r="7" spans="1:4" x14ac:dyDescent="0.25">
      <c r="A7" s="2" t="s">
        <v>13</v>
      </c>
      <c r="B7" s="2">
        <v>8.84</v>
      </c>
      <c r="C7" s="6" cm="1">
        <f t="array" ref="C7">[1]!BIGEN.GUNFY</f>
        <v>1.19695321001088</v>
      </c>
      <c r="D7" s="5">
        <f t="shared" si="0"/>
        <v>0.10581066376496179</v>
      </c>
    </row>
    <row r="8" spans="1:4" x14ac:dyDescent="0.25">
      <c r="A8" s="2" t="s">
        <v>7</v>
      </c>
      <c r="B8" s="2">
        <v>1.79</v>
      </c>
      <c r="C8" s="6" cm="1">
        <f t="array" ref="C8">[1]!PEKGY.GUNFY</f>
        <v>-9.9682539682539595</v>
      </c>
      <c r="D8" s="5">
        <f t="shared" si="0"/>
        <v>-0.17843174603174589</v>
      </c>
    </row>
    <row r="9" spans="1:4" x14ac:dyDescent="0.25">
      <c r="A9" s="2" t="s">
        <v>21</v>
      </c>
      <c r="B9" s="2">
        <v>1.71</v>
      </c>
      <c r="C9" s="6" cm="1">
        <f t="array" ref="C9">[1]!TMPOL.GUNFY</f>
        <v>-8.18128310771041</v>
      </c>
      <c r="D9" s="5">
        <f t="shared" si="0"/>
        <v>-0.13989994114184801</v>
      </c>
    </row>
    <row r="10" spans="1:4" x14ac:dyDescent="0.25">
      <c r="A10" s="2" t="s">
        <v>17</v>
      </c>
      <c r="B10" s="2">
        <v>1.27</v>
      </c>
      <c r="C10" s="6" cm="1">
        <f t="array" ref="C10">[1]!EUPWR.GUNFY</f>
        <v>-9.9902534113060408</v>
      </c>
      <c r="D10" s="5">
        <f t="shared" si="0"/>
        <v>-0.12687621832358673</v>
      </c>
    </row>
    <row r="11" spans="1:4" x14ac:dyDescent="0.25">
      <c r="A11" s="2" t="s">
        <v>5</v>
      </c>
      <c r="B11" s="2">
        <v>1.59</v>
      </c>
      <c r="C11" s="6" cm="1">
        <f t="array" ref="C11">[1]!DSTKF.GUNFY</f>
        <v>5.2378664103796204</v>
      </c>
      <c r="D11" s="5">
        <f t="shared" si="0"/>
        <v>8.3282075925035975E-2</v>
      </c>
    </row>
    <row r="12" spans="1:4" x14ac:dyDescent="0.25">
      <c r="A12" s="2" t="s">
        <v>11</v>
      </c>
      <c r="B12" s="2">
        <v>1.34</v>
      </c>
      <c r="C12" s="6" cm="1">
        <f t="array" ref="C12">[1]!ALKLC.GUNFY</f>
        <v>0.29359953024075103</v>
      </c>
      <c r="D12" s="5">
        <f t="shared" si="0"/>
        <v>3.9342337052260638E-3</v>
      </c>
    </row>
    <row r="13" spans="1:4" x14ac:dyDescent="0.25">
      <c r="A13" s="2" t="s">
        <v>8</v>
      </c>
      <c r="B13" s="2">
        <v>0.74</v>
      </c>
      <c r="C13" s="6" cm="1">
        <f t="array" ref="C13">[1]!TERA.GUNFY</f>
        <v>1.3333333333333299</v>
      </c>
      <c r="D13" s="5">
        <f t="shared" si="0"/>
        <v>9.8666666666666417E-3</v>
      </c>
    </row>
    <row r="14" spans="1:4" x14ac:dyDescent="0.25">
      <c r="A14" s="2" t="s">
        <v>67</v>
      </c>
      <c r="B14" s="2">
        <v>0.16</v>
      </c>
      <c r="C14" s="6" cm="1">
        <f t="array" ref="C14">[1]!KORDS.GUNFY</f>
        <v>-0.35714285714285698</v>
      </c>
      <c r="D14" s="5">
        <f t="shared" si="0"/>
        <v>-5.7142857142857125E-4</v>
      </c>
    </row>
    <row r="15" spans="1:4" x14ac:dyDescent="0.25">
      <c r="A15" s="2" t="s">
        <v>103</v>
      </c>
      <c r="B15" s="2">
        <v>0.04</v>
      </c>
      <c r="C15" s="6" cm="1">
        <f t="array" ref="C15">[1]!MANAS.GUNFY</f>
        <v>2.0543806646525602</v>
      </c>
      <c r="D15" s="5">
        <f t="shared" si="0"/>
        <v>8.2175226586102409E-4</v>
      </c>
    </row>
    <row r="16" spans="1:4" x14ac:dyDescent="0.25">
      <c r="A16" s="2" t="s">
        <v>14</v>
      </c>
      <c r="B16" s="2">
        <v>0.04</v>
      </c>
      <c r="C16" s="6" cm="1">
        <f t="array" ref="C16">[1]!HEDEF.GUNFY</f>
        <v>-9.9703264094955397</v>
      </c>
      <c r="D16" s="5">
        <f t="shared" si="0"/>
        <v>-3.9881305637982159E-3</v>
      </c>
    </row>
    <row r="17" spans="1:4" x14ac:dyDescent="0.25">
      <c r="A17" s="2" t="s">
        <v>51</v>
      </c>
      <c r="B17" s="2">
        <v>0.34</v>
      </c>
      <c r="C17" s="6" cm="1">
        <f t="array" ref="C17">[1]!GESAN.GUNFY</f>
        <v>-9.9891422366992302</v>
      </c>
      <c r="D17" s="5">
        <f t="shared" si="0"/>
        <v>-3.3963083604777386E-2</v>
      </c>
    </row>
    <row r="18" spans="1:4" x14ac:dyDescent="0.25">
      <c r="A18" s="2" t="s">
        <v>30</v>
      </c>
      <c r="B18" s="2">
        <v>0.12</v>
      </c>
      <c r="C18" s="6" cm="1">
        <f t="array" ref="C18">[1]!AKSEN.GUNFY</f>
        <v>-1.0705289672544001</v>
      </c>
      <c r="D18" s="5">
        <f t="shared" si="0"/>
        <v>-1.28463476070528E-3</v>
      </c>
    </row>
    <row r="19" spans="1:4" x14ac:dyDescent="0.25">
      <c r="A19" s="2" t="s">
        <v>87</v>
      </c>
      <c r="B19" s="2">
        <v>0.18</v>
      </c>
      <c r="C19" s="6" cm="1">
        <f t="array" ref="C19">[1]!YKBNK.GUNFY</f>
        <v>0.82146768893756805</v>
      </c>
      <c r="D19" s="5">
        <f t="shared" si="0"/>
        <v>1.4786418400876225E-3</v>
      </c>
    </row>
    <row r="20" spans="1:4" x14ac:dyDescent="0.25">
      <c r="A20" s="2" t="s">
        <v>36</v>
      </c>
      <c r="B20" s="2">
        <v>0.2</v>
      </c>
      <c r="C20" s="6" cm="1">
        <f t="array" ref="C20">[1]!TURSG.GUNFY</f>
        <v>2.17755443886097</v>
      </c>
      <c r="D20" s="5">
        <f t="shared" si="0"/>
        <v>4.3551088777219402E-3</v>
      </c>
    </row>
    <row r="21" spans="1:4" x14ac:dyDescent="0.25">
      <c r="A21" s="2" t="s">
        <v>16</v>
      </c>
      <c r="B21" s="2">
        <v>7.0000000000000007E-2</v>
      </c>
      <c r="C21" s="6" cm="1">
        <f t="array" ref="C21">[1]!SVGYO.GUNFY</f>
        <v>0.11074197120708699</v>
      </c>
      <c r="D21" s="5">
        <f t="shared" si="0"/>
        <v>7.7519379844960906E-5</v>
      </c>
    </row>
    <row r="22" spans="1:4" x14ac:dyDescent="0.25">
      <c r="A22" s="12" t="s">
        <v>24</v>
      </c>
      <c r="B22" s="4">
        <f>SUM(B2:B21)</f>
        <v>73.720000000000013</v>
      </c>
      <c r="C22" s="3"/>
      <c r="D22" s="4">
        <f>SUM(D2:D21)</f>
        <v>0.87423435452069698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DFI</vt:lpstr>
      <vt:lpstr>KHA</vt:lpstr>
      <vt:lpstr>THF</vt:lpstr>
      <vt:lpstr>TMV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hf vbn</cp:lastModifiedBy>
  <dcterms:modified xsi:type="dcterms:W3CDTF">2026-09-01T15:13:56Z</dcterms:modified>
</cp:coreProperties>
</file>