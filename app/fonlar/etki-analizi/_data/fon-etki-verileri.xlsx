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7A45E0B0-5CD9-4889-BEFD-9EBBE348B0E6}" xr6:coauthVersionLast="47" xr6:coauthVersionMax="47" xr10:uidLastSave="{00000000-0000-0000-0000-000000000000}"/>
  <bookViews>
    <workbookView xWindow="-19410" yWindow="4905" windowWidth="14100" windowHeight="15600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6" l="1"/>
  <c r="D6" i="6"/>
  <c r="D5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D16" i="1"/>
  <c r="D15" i="1"/>
  <c r="B8" i="6"/>
  <c r="D8" i="6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B17" i="1"/>
  <c r="D5" i="4"/>
  <c r="D37" i="3" l="1"/>
  <c r="D44" i="2"/>
  <c r="D6" i="4"/>
  <c r="D17" i="1"/>
</calcChain>
</file>

<file path=xl/sharedStrings.xml><?xml version="1.0" encoding="utf-8"?>
<sst xmlns="http://schemas.openxmlformats.org/spreadsheetml/2006/main" count="147" uniqueCount="76">
  <si>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</si>
  <si>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</si>
  <si>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</si>
  <si>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</si>
  <si>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</si>
  <si>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</si>
  <si>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</si>
  <si>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</si>
  <si>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</si>
  <si>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</si>
  <si>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</si>
  <si>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</si>
  <si>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</si>
  <si>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</si>
  <si>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</si>
  <si>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</si>
  <si>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</si>
  <si>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</si>
  <si>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</si>
  <si>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</si>
  <si>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</si>
  <si>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</si>
  <si>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</si>
  <si>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</si>
  <si>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</si>
  <si>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</si>
  <si>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</si>
  <si>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</si>
  <si>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</si>
  <si>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</si>
  <si>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</si>
  <si>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</si>
  <si>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</si>
  <si>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</si>
  <si>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</si>
  <si>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</si>
  <si>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</si>
  <si>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</si>
  <si>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</si>
  <si>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</si>
  <si>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</si>
  <si>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</si>
  <si>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</si>
  <si>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</si>
  <si>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</si>
  <si>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</si>
  <si>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</si>
  <si>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</si>
  <si>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</si>
  <si>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TPKGY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</si>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</sst>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4"/>
  <sheetViews>
    <sheetView tabSelected="1" workbookViewId="0">
      <selection activeCell="C28" sqref="C28:D28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4.5703125" customWidth="1"/>
    <col min="6" max="6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-2.4761904761904701</v>
      </c>
      <c r="D2" s="7">
        <f>B2*C2/100</f>
        <v>-0.56580952380952243</v>
      </c>
    </row>
    <row r="3" spans="1:4" x14ac:dyDescent="0.25">
      <c r="A3" s="4" t="s">
        <v>1</v>
      </c>
      <c r="B3" s="4">
        <v>14.3</v>
      </c>
      <c r="C3" s="3">
        <v>5.0505050505050502</v>
      </c>
      <c r="D3" s="7">
        <f>B3*C3/100</f>
        <v>0.7222222222222221</v>
      </c>
    </row>
    <row r="4" spans="1:4" x14ac:dyDescent="0.25">
      <c r="A4" s="4" t="s">
        <v>3</v>
      </c>
      <c r="B4" s="4">
        <v>7.73</v>
      </c>
      <c r="C4" s="3">
        <v>0.334448160535117</v>
      </c>
      <c r="D4" s="7">
        <f t="shared" ref="D4:D16" si="0">B4*C4/100</f>
        <v>2.5852842809364548E-2</v>
      </c>
    </row>
    <row r="5" spans="1:4" x14ac:dyDescent="0.25">
      <c r="A5" s="4" t="s">
        <v>5</v>
      </c>
      <c r="B5" s="4">
        <v>7.14</v>
      </c>
      <c r="C5" s="3">
        <v>0.185960018596001</v>
      </c>
      <c r="D5" s="7">
        <f t="shared" si="0"/>
        <v>1.3277545327754471E-2</v>
      </c>
    </row>
    <row r="6" spans="1:4" x14ac:dyDescent="0.25">
      <c r="A6" s="4" t="s">
        <v>2</v>
      </c>
      <c r="B6" s="4">
        <v>6.63</v>
      </c>
      <c r="C6" s="3">
        <v>2.1118012422360199</v>
      </c>
      <c r="D6" s="7">
        <f t="shared" si="0"/>
        <v>0.14001242236024811</v>
      </c>
    </row>
    <row r="7" spans="1:4" x14ac:dyDescent="0.25">
      <c r="A7" s="4" t="s">
        <v>4</v>
      </c>
      <c r="B7" s="4">
        <v>5.61</v>
      </c>
      <c r="C7" s="3">
        <v>0</v>
      </c>
      <c r="D7" s="7">
        <f t="shared" si="0"/>
        <v>0</v>
      </c>
    </row>
    <row r="8" spans="1:4" x14ac:dyDescent="0.25">
      <c r="A8" s="4" t="s">
        <v>6</v>
      </c>
      <c r="B8" s="4">
        <v>1.99</v>
      </c>
      <c r="C8" s="3">
        <v>4.41767068273092</v>
      </c>
      <c r="D8" s="7">
        <f t="shared" si="0"/>
        <v>8.7911646586345302E-2</v>
      </c>
    </row>
    <row r="9" spans="1:4" x14ac:dyDescent="0.25">
      <c r="A9" s="4" t="s">
        <v>50</v>
      </c>
      <c r="B9" s="4">
        <v>1.04</v>
      </c>
      <c r="C9" s="3">
        <v>-1.09106168694922</v>
      </c>
      <c r="D9" s="7">
        <f t="shared" si="0"/>
        <v>-1.1347041544271887E-2</v>
      </c>
    </row>
    <row r="10" spans="1:4" x14ac:dyDescent="0.25">
      <c r="A10" s="4" t="s">
        <v>7</v>
      </c>
      <c r="B10" s="4">
        <v>0.54</v>
      </c>
      <c r="C10" s="3">
        <v>0</v>
      </c>
      <c r="D10" s="7">
        <f t="shared" si="0"/>
        <v>0</v>
      </c>
    </row>
    <row r="11" spans="1:4" x14ac:dyDescent="0.25">
      <c r="A11" s="4" t="s">
        <v>8</v>
      </c>
      <c r="B11" s="4">
        <v>0.52</v>
      </c>
      <c r="C11" s="3">
        <v>2.3484848484848402</v>
      </c>
      <c r="D11" s="7">
        <f t="shared" si="0"/>
        <v>1.2212121212121169E-2</v>
      </c>
    </row>
    <row r="12" spans="1:4" x14ac:dyDescent="0.25">
      <c r="A12" s="4" t="s">
        <v>9</v>
      </c>
      <c r="B12" s="4">
        <v>0.27</v>
      </c>
      <c r="C12" s="3">
        <v>-2.1008403361344499</v>
      </c>
      <c r="D12" s="7">
        <f t="shared" si="0"/>
        <v>-5.6722689075630155E-3</v>
      </c>
    </row>
    <row r="13" spans="1:4" x14ac:dyDescent="0.25">
      <c r="A13" s="4" t="s">
        <v>51</v>
      </c>
      <c r="B13" s="4">
        <v>0.14000000000000001</v>
      </c>
      <c r="C13" s="3">
        <v>0.261951538965291</v>
      </c>
      <c r="D13" s="7">
        <f t="shared" si="0"/>
        <v>3.6673215455140746E-4</v>
      </c>
    </row>
    <row r="14" spans="1:4" x14ac:dyDescent="0.25">
      <c r="A14" s="4" t="s">
        <v>27</v>
      </c>
      <c r="B14" s="4">
        <v>7.0000000000000007E-2</v>
      </c>
      <c r="C14" s="3">
        <v>-3.5460992907801399</v>
      </c>
      <c r="D14" s="7">
        <f t="shared" si="0"/>
        <v>-2.4822695035460981E-3</v>
      </c>
    </row>
    <row r="15" spans="1:4" x14ac:dyDescent="0.25">
      <c r="A15" s="4" t="s">
        <v>49</v>
      </c>
      <c r="B15" s="4">
        <v>11.91</v>
      </c>
      <c r="C15" s="3">
        <v>-4.17</v>
      </c>
      <c r="D15" s="7">
        <f t="shared" si="0"/>
        <v>-0.49664699999999995</v>
      </c>
    </row>
    <row r="16" spans="1:4" x14ac:dyDescent="0.25">
      <c r="A16" s="4" t="s">
        <v>52</v>
      </c>
      <c r="B16" s="4">
        <v>1.27</v>
      </c>
      <c r="C16" s="3">
        <v>0.25</v>
      </c>
      <c r="D16" s="7">
        <f t="shared" si="0"/>
        <v>3.1749999999999999E-3</v>
      </c>
    </row>
    <row r="17" spans="1:6" x14ac:dyDescent="0.25">
      <c r="A17" s="16" t="s">
        <v>64</v>
      </c>
      <c r="B17" s="5">
        <f>B2+B3+B4+B5+B6+B7+B8+B9+B10+B11+B12+B13+B14+B15+B16</f>
        <v>82.01</v>
      </c>
      <c r="C17" s="5"/>
      <c r="D17" s="6">
        <f>D2+D3+D4+D5+D6+D7+D8+D9+D10+D11+D12+D13+D14+D15+D16</f>
        <v>-7.692757109229624E-2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6" spans="1:6" x14ac:dyDescent="0.25">
      <c r="A26" s="16"/>
      <c r="B26" s="5"/>
      <c r="C26" s="5"/>
      <c r="D26" s="6"/>
    </row>
    <row r="28" spans="1:6" x14ac:dyDescent="0.25">
      <c r="C28" s="5"/>
    </row>
    <row r="29" spans="1:6" x14ac:dyDescent="0.25">
      <c r="C29" s="4"/>
      <c r="D29" s="4"/>
      <c r="E29" s="4"/>
      <c r="F29" s="4"/>
    </row>
    <row r="30" spans="1:6" x14ac:dyDescent="0.25">
      <c r="A30" s="25"/>
      <c r="B30" s="25"/>
      <c r="C30" s="4"/>
      <c r="D30" s="4"/>
      <c r="E30" s="4"/>
      <c r="F30" s="17"/>
    </row>
    <row r="31" spans="1:6" x14ac:dyDescent="0.25">
      <c r="A31" s="25"/>
      <c r="B31" s="25"/>
      <c r="C31" s="9"/>
      <c r="D31" s="19"/>
      <c r="E31" s="17"/>
    </row>
    <row r="32" spans="1:6" x14ac:dyDescent="0.25">
      <c r="A32" s="5" t="s">
        <v>75</v>
      </c>
      <c r="B32" s="26" t="s">
        <v>53</v>
      </c>
      <c r="C32" s="26"/>
      <c r="D32" s="26" t="s">
        <v>54</v>
      </c>
      <c r="E32" s="26"/>
      <c r="F32" s="5" t="s">
        <v>68</v>
      </c>
    </row>
    <row r="33" spans="1:6" x14ac:dyDescent="0.25">
      <c r="A33" s="18">
        <v>46226</v>
      </c>
      <c r="B33" s="25">
        <v>98970</v>
      </c>
      <c r="C33" s="25"/>
      <c r="D33" s="27">
        <v>232874657613</v>
      </c>
      <c r="E33" s="27"/>
      <c r="F33" s="21">
        <v>1310146537</v>
      </c>
    </row>
    <row r="34" spans="1:6" x14ac:dyDescent="0.25">
      <c r="A34" s="18">
        <v>46227</v>
      </c>
      <c r="B34" s="25">
        <v>99051</v>
      </c>
      <c r="C34" s="25"/>
      <c r="D34" s="27">
        <v>227320292084</v>
      </c>
      <c r="E34" s="27"/>
      <c r="F34" s="22">
        <v>-6072488957</v>
      </c>
    </row>
  </sheetData>
  <mergeCells count="8">
    <mergeCell ref="B34:C34"/>
    <mergeCell ref="D34:E34"/>
    <mergeCell ref="A30:B30"/>
    <mergeCell ref="A31:B31"/>
    <mergeCell ref="B32:C32"/>
    <mergeCell ref="D32:E32"/>
    <mergeCell ref="D33:E33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E65"/>
  <sheetViews>
    <sheetView workbookViewId="0">
      <selection activeCell="E47" sqref="E47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-8.2840236686390494</v>
      </c>
      <c r="D2" s="4">
        <f>B2*C2/100</f>
        <v>-0.73893491124260324</v>
      </c>
    </row>
    <row r="3" spans="1:4" x14ac:dyDescent="0.25">
      <c r="A3" s="4" t="s">
        <v>14</v>
      </c>
      <c r="B3" s="4">
        <v>8.81</v>
      </c>
      <c r="C3" s="14">
        <v>5.55555555555555</v>
      </c>
      <c r="D3" s="4">
        <f t="shared" ref="D3:D43" si="0">B3*C3/100</f>
        <v>0.48944444444444402</v>
      </c>
    </row>
    <row r="4" spans="1:4" x14ac:dyDescent="0.25">
      <c r="A4" s="4" t="s">
        <v>12</v>
      </c>
      <c r="B4" s="4">
        <v>8.2799999999999994</v>
      </c>
      <c r="C4" s="14">
        <v>6.3108852181279103</v>
      </c>
      <c r="D4" s="4">
        <f t="shared" si="0"/>
        <v>0.52254129606099087</v>
      </c>
    </row>
    <row r="5" spans="1:4" x14ac:dyDescent="0.25">
      <c r="A5" s="4" t="s">
        <v>15</v>
      </c>
      <c r="B5" s="4">
        <v>6.17</v>
      </c>
      <c r="C5" s="14">
        <v>0.61403508771929804</v>
      </c>
      <c r="D5" s="4">
        <f t="shared" si="0"/>
        <v>3.788596491228069E-2</v>
      </c>
    </row>
    <row r="6" spans="1:4" x14ac:dyDescent="0.25">
      <c r="A6" s="4" t="s">
        <v>9</v>
      </c>
      <c r="B6" s="4">
        <v>4.75</v>
      </c>
      <c r="C6" s="14">
        <v>-2.1008403361344499</v>
      </c>
      <c r="D6" s="4">
        <f t="shared" si="0"/>
        <v>-9.9789915966386367E-2</v>
      </c>
    </row>
    <row r="7" spans="1:4" x14ac:dyDescent="0.25">
      <c r="A7" s="4" t="s">
        <v>16</v>
      </c>
      <c r="B7" s="4">
        <v>4.42</v>
      </c>
      <c r="C7" s="14">
        <v>-0.23980815347721801</v>
      </c>
      <c r="D7" s="4">
        <f t="shared" si="0"/>
        <v>-1.0599520383693035E-2</v>
      </c>
    </row>
    <row r="8" spans="1:4" x14ac:dyDescent="0.25">
      <c r="A8" s="4" t="s">
        <v>19</v>
      </c>
      <c r="B8" s="4">
        <v>3.77</v>
      </c>
      <c r="C8" s="14">
        <v>0.82028337061894097</v>
      </c>
      <c r="D8" s="4">
        <f t="shared" si="0"/>
        <v>3.0924683072334074E-2</v>
      </c>
    </row>
    <row r="9" spans="1:4" x14ac:dyDescent="0.25">
      <c r="A9" s="4" t="s">
        <v>18</v>
      </c>
      <c r="B9" s="4">
        <v>3.6</v>
      </c>
      <c r="C9" s="14">
        <v>-2.8288822947576602</v>
      </c>
      <c r="D9" s="4">
        <f t="shared" si="0"/>
        <v>-0.10183976261127578</v>
      </c>
    </row>
    <row r="10" spans="1:4" x14ac:dyDescent="0.25">
      <c r="A10" s="4" t="s">
        <v>20</v>
      </c>
      <c r="B10" s="4">
        <v>3.37</v>
      </c>
      <c r="C10" s="14">
        <v>0.300661455201443</v>
      </c>
      <c r="D10" s="4">
        <f t="shared" si="0"/>
        <v>1.013229104028863E-2</v>
      </c>
    </row>
    <row r="11" spans="1:4" x14ac:dyDescent="0.25">
      <c r="A11" s="4" t="s">
        <v>56</v>
      </c>
      <c r="B11" s="4">
        <v>2.68</v>
      </c>
      <c r="C11" s="14">
        <v>-3.7125748502993998</v>
      </c>
      <c r="D11" s="4">
        <f t="shared" si="0"/>
        <v>-9.9497005988023926E-2</v>
      </c>
    </row>
    <row r="12" spans="1:4" x14ac:dyDescent="0.25">
      <c r="A12" s="4" t="s">
        <v>0</v>
      </c>
      <c r="B12" s="4">
        <v>2.58</v>
      </c>
      <c r="C12" s="14">
        <v>-2.4761904761904701</v>
      </c>
      <c r="D12" s="4">
        <f t="shared" si="0"/>
        <v>-6.3885714285714129E-2</v>
      </c>
    </row>
    <row r="13" spans="1:4" x14ac:dyDescent="0.25">
      <c r="A13" s="4" t="s">
        <v>25</v>
      </c>
      <c r="B13" s="4">
        <v>2.4500000000000002</v>
      </c>
      <c r="C13" s="14">
        <v>-0.61538461538461497</v>
      </c>
      <c r="D13" s="4">
        <f t="shared" si="0"/>
        <v>-1.5076923076923068E-2</v>
      </c>
    </row>
    <row r="14" spans="1:4" x14ac:dyDescent="0.25">
      <c r="A14" s="4" t="s">
        <v>6</v>
      </c>
      <c r="B14" s="4">
        <v>2.0499999999999998</v>
      </c>
      <c r="C14" s="14">
        <v>4.41767068273092</v>
      </c>
      <c r="D14" s="4">
        <f t="shared" si="0"/>
        <v>9.0562248995983849E-2</v>
      </c>
    </row>
    <row r="15" spans="1:4" x14ac:dyDescent="0.25">
      <c r="A15" s="4" t="s">
        <v>17</v>
      </c>
      <c r="B15" s="4">
        <v>1.73</v>
      </c>
      <c r="C15" s="14">
        <v>-4.7895500725689404</v>
      </c>
      <c r="D15" s="4">
        <f t="shared" si="0"/>
        <v>-8.2859216255442666E-2</v>
      </c>
    </row>
    <row r="16" spans="1:4" x14ac:dyDescent="0.25">
      <c r="A16" s="4" t="s">
        <v>22</v>
      </c>
      <c r="B16" s="4">
        <v>1.64</v>
      </c>
      <c r="C16" s="14">
        <v>-1.18953211736716</v>
      </c>
      <c r="D16" s="4">
        <f t="shared" si="0"/>
        <v>-1.9508326724821425E-2</v>
      </c>
    </row>
    <row r="17" spans="1:4" x14ac:dyDescent="0.25">
      <c r="A17" s="4" t="s">
        <v>23</v>
      </c>
      <c r="B17" s="4">
        <v>1.62</v>
      </c>
      <c r="C17" s="14">
        <v>-0.96645821489482597</v>
      </c>
      <c r="D17" s="4">
        <f t="shared" si="0"/>
        <v>-1.5656623081296183E-2</v>
      </c>
    </row>
    <row r="18" spans="1:4" x14ac:dyDescent="0.25">
      <c r="A18" s="4" t="s">
        <v>26</v>
      </c>
      <c r="B18" s="4">
        <v>1.48</v>
      </c>
      <c r="C18" s="14">
        <v>-2.62483994878361</v>
      </c>
      <c r="D18" s="4">
        <f t="shared" si="0"/>
        <v>-3.884763124199743E-2</v>
      </c>
    </row>
    <row r="19" spans="1:4" x14ac:dyDescent="0.25">
      <c r="A19" s="4" t="s">
        <v>21</v>
      </c>
      <c r="B19" s="4">
        <v>1.4</v>
      </c>
      <c r="C19" s="14">
        <v>-1.2380952380952299</v>
      </c>
      <c r="D19" s="4">
        <f t="shared" si="0"/>
        <v>-1.7333333333333218E-2</v>
      </c>
    </row>
    <row r="20" spans="1:4" x14ac:dyDescent="0.25">
      <c r="A20" s="4" t="s">
        <v>24</v>
      </c>
      <c r="B20" s="4">
        <v>1.3</v>
      </c>
      <c r="C20" s="14">
        <v>-0.302724520686175</v>
      </c>
      <c r="D20" s="4">
        <f t="shared" si="0"/>
        <v>-3.9354187689202751E-3</v>
      </c>
    </row>
    <row r="21" spans="1:4" x14ac:dyDescent="0.25">
      <c r="A21" s="4" t="s">
        <v>28</v>
      </c>
      <c r="B21" s="4">
        <v>1.26</v>
      </c>
      <c r="C21" s="14">
        <v>-2.9649595687331498</v>
      </c>
      <c r="D21" s="4">
        <f t="shared" si="0"/>
        <v>-3.735849056603769E-2</v>
      </c>
    </row>
    <row r="22" spans="1:4" x14ac:dyDescent="0.25">
      <c r="A22" s="4" t="s">
        <v>29</v>
      </c>
      <c r="B22" s="4">
        <v>1.2</v>
      </c>
      <c r="C22" s="14">
        <v>0.8</v>
      </c>
      <c r="D22" s="4">
        <f t="shared" si="0"/>
        <v>9.5999999999999992E-3</v>
      </c>
    </row>
    <row r="23" spans="1:4" x14ac:dyDescent="0.25">
      <c r="A23" s="4" t="s">
        <v>3</v>
      </c>
      <c r="B23" s="4">
        <v>0.73</v>
      </c>
      <c r="C23" s="14">
        <v>0.334448160535117</v>
      </c>
      <c r="D23" s="4">
        <f t="shared" si="0"/>
        <v>2.4414715719063541E-3</v>
      </c>
    </row>
    <row r="24" spans="1:4" x14ac:dyDescent="0.25">
      <c r="A24" s="4" t="s">
        <v>33</v>
      </c>
      <c r="B24" s="4">
        <v>0.71</v>
      </c>
      <c r="C24" s="14">
        <v>0.74812967581047296</v>
      </c>
      <c r="D24" s="4">
        <f t="shared" si="0"/>
        <v>5.3117206982543578E-3</v>
      </c>
    </row>
    <row r="25" spans="1:4" x14ac:dyDescent="0.25">
      <c r="A25" s="4" t="s">
        <v>7</v>
      </c>
      <c r="B25" s="4">
        <v>0.59</v>
      </c>
      <c r="C25" s="8">
        <v>0</v>
      </c>
      <c r="D25" s="4">
        <f t="shared" si="0"/>
        <v>0</v>
      </c>
    </row>
    <row r="26" spans="1:4" x14ac:dyDescent="0.25">
      <c r="A26" s="4" t="s">
        <v>27</v>
      </c>
      <c r="B26" s="4">
        <v>0.56000000000000005</v>
      </c>
      <c r="C26" s="8">
        <v>-3.5460992907801399</v>
      </c>
      <c r="D26" s="4">
        <f t="shared" si="0"/>
        <v>-1.9858156028368785E-2</v>
      </c>
    </row>
    <row r="27" spans="1:4" x14ac:dyDescent="0.25">
      <c r="A27" s="4" t="s">
        <v>39</v>
      </c>
      <c r="B27" s="4">
        <v>0.4</v>
      </c>
      <c r="C27" s="8">
        <v>2.3318385650224198</v>
      </c>
      <c r="D27" s="4">
        <f t="shared" si="0"/>
        <v>9.3273542600896802E-3</v>
      </c>
    </row>
    <row r="28" spans="1:4" x14ac:dyDescent="0.25">
      <c r="A28" s="4" t="s">
        <v>31</v>
      </c>
      <c r="B28" s="4">
        <v>0.39</v>
      </c>
      <c r="C28" s="8">
        <v>1.3409961685823699</v>
      </c>
      <c r="D28" s="4">
        <f t="shared" si="0"/>
        <v>5.2298850574712431E-3</v>
      </c>
    </row>
    <row r="29" spans="1:4" x14ac:dyDescent="0.25">
      <c r="A29" s="4" t="s">
        <v>30</v>
      </c>
      <c r="B29" s="4">
        <v>0.36</v>
      </c>
      <c r="C29" s="8">
        <v>-1.2784880489160599</v>
      </c>
      <c r="D29" s="4">
        <f t="shared" si="0"/>
        <v>-4.6025569760978161E-3</v>
      </c>
    </row>
    <row r="30" spans="1:4" x14ac:dyDescent="0.25">
      <c r="A30" s="4" t="s">
        <v>34</v>
      </c>
      <c r="B30" s="4">
        <v>0.34</v>
      </c>
      <c r="C30" s="8">
        <v>2.0700636942675099</v>
      </c>
      <c r="D30" s="4">
        <f t="shared" si="0"/>
        <v>7.0382165605095337E-3</v>
      </c>
    </row>
    <row r="31" spans="1:4" x14ac:dyDescent="0.25">
      <c r="A31" s="4" t="s">
        <v>58</v>
      </c>
      <c r="B31" s="4">
        <v>0.34</v>
      </c>
      <c r="C31" s="8">
        <v>-0.299102691924227</v>
      </c>
      <c r="D31" s="4">
        <f t="shared" si="0"/>
        <v>-1.0169491525423718E-3</v>
      </c>
    </row>
    <row r="32" spans="1:4" x14ac:dyDescent="0.25">
      <c r="A32" s="4" t="s">
        <v>59</v>
      </c>
      <c r="B32" s="4">
        <v>0.33</v>
      </c>
      <c r="C32" s="8">
        <v>9.64320154291224E-2</v>
      </c>
      <c r="D32" s="4">
        <f t="shared" si="0"/>
        <v>3.1822565091610395E-4</v>
      </c>
    </row>
    <row r="33" spans="1:5" x14ac:dyDescent="0.25">
      <c r="A33" s="4" t="s">
        <v>2</v>
      </c>
      <c r="B33" s="11">
        <v>0.26</v>
      </c>
      <c r="C33" s="15">
        <v>2.1118012422360199</v>
      </c>
      <c r="D33" s="4">
        <f t="shared" si="0"/>
        <v>5.4906832298136522E-3</v>
      </c>
    </row>
    <row r="34" spans="1:5" x14ac:dyDescent="0.25">
      <c r="A34" s="4" t="s">
        <v>32</v>
      </c>
      <c r="B34" s="4">
        <v>0.18</v>
      </c>
      <c r="C34" s="8">
        <v>-0.40322580645161199</v>
      </c>
      <c r="D34" s="4">
        <f t="shared" si="0"/>
        <v>-7.2580645161290165E-4</v>
      </c>
    </row>
    <row r="35" spans="1:5" x14ac:dyDescent="0.25">
      <c r="A35" s="4" t="s">
        <v>4</v>
      </c>
      <c r="B35" s="4">
        <v>0.12</v>
      </c>
      <c r="C35" s="8">
        <v>0</v>
      </c>
      <c r="D35" s="4">
        <f t="shared" si="0"/>
        <v>0</v>
      </c>
    </row>
    <row r="36" spans="1:5" x14ac:dyDescent="0.25">
      <c r="A36" s="4" t="s">
        <v>60</v>
      </c>
      <c r="B36" s="4">
        <v>7.0000000000000007E-2</v>
      </c>
      <c r="C36" s="8">
        <v>0.37641154328732701</v>
      </c>
      <c r="D36" s="4">
        <f t="shared" si="0"/>
        <v>2.634880803011289E-4</v>
      </c>
    </row>
    <row r="37" spans="1:5" x14ac:dyDescent="0.25">
      <c r="A37" s="4" t="s">
        <v>61</v>
      </c>
      <c r="B37" s="4">
        <v>0.05</v>
      </c>
      <c r="C37" s="8">
        <v>-2.0814479638008998</v>
      </c>
      <c r="D37" s="4">
        <f t="shared" si="0"/>
        <v>-1.04072398190045E-3</v>
      </c>
    </row>
    <row r="38" spans="1:5" x14ac:dyDescent="0.25">
      <c r="A38" s="4" t="s">
        <v>62</v>
      </c>
      <c r="B38" s="4">
        <v>0.04</v>
      </c>
      <c r="C38" s="8">
        <v>1.93905817174515</v>
      </c>
      <c r="D38" s="4">
        <f t="shared" si="0"/>
        <v>7.7562326869806003E-4</v>
      </c>
    </row>
    <row r="39" spans="1:5" x14ac:dyDescent="0.25">
      <c r="A39" s="4" t="s">
        <v>63</v>
      </c>
      <c r="B39" s="4">
        <v>0.04</v>
      </c>
      <c r="C39" s="8">
        <v>1.64301717699775</v>
      </c>
      <c r="D39" s="4">
        <f t="shared" si="0"/>
        <v>6.5720687079909995E-4</v>
      </c>
    </row>
    <row r="40" spans="1:5" x14ac:dyDescent="0.25">
      <c r="A40" s="4" t="s">
        <v>35</v>
      </c>
      <c r="B40" s="4">
        <v>0.3</v>
      </c>
      <c r="C40" s="8">
        <v>-0.52941176470588203</v>
      </c>
      <c r="D40" s="4">
        <f t="shared" si="0"/>
        <v>-1.5882352941176462E-3</v>
      </c>
    </row>
    <row r="41" spans="1:5" x14ac:dyDescent="0.25">
      <c r="A41" s="4" t="s">
        <v>41</v>
      </c>
      <c r="B41" s="4">
        <v>8.33</v>
      </c>
      <c r="C41" s="4">
        <v>-3.51</v>
      </c>
      <c r="D41" s="4">
        <f t="shared" si="0"/>
        <v>-0.292383</v>
      </c>
    </row>
    <row r="42" spans="1:5" x14ac:dyDescent="0.25">
      <c r="A42" s="4" t="s">
        <v>42</v>
      </c>
      <c r="B42" s="4">
        <v>8.27</v>
      </c>
      <c r="C42" s="4">
        <v>-2.16</v>
      </c>
      <c r="D42" s="4">
        <f t="shared" si="0"/>
        <v>-0.17863199999999999</v>
      </c>
    </row>
    <row r="43" spans="1:5" x14ac:dyDescent="0.25">
      <c r="A43" s="4" t="s">
        <v>57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64</v>
      </c>
      <c r="B44" s="5">
        <f>SUM(B2:B43)</f>
        <v>98.450000000000045</v>
      </c>
      <c r="D44" s="6">
        <f>SUM(D2:D43)</f>
        <v>-0.61369741763602703</v>
      </c>
    </row>
    <row r="47" spans="1:5" x14ac:dyDescent="0.25">
      <c r="C47" s="5"/>
    </row>
    <row r="48" spans="1:5" x14ac:dyDescent="0.25">
      <c r="C48" s="4"/>
      <c r="D48" s="4"/>
      <c r="E48" s="4"/>
    </row>
    <row r="49" spans="1:5" x14ac:dyDescent="0.25">
      <c r="A49" s="25"/>
      <c r="B49" s="25"/>
      <c r="C49" s="4"/>
      <c r="D49" s="4"/>
      <c r="E49" s="17"/>
    </row>
    <row r="50" spans="1:5" x14ac:dyDescent="0.25">
      <c r="A50" s="25"/>
      <c r="B50" s="25"/>
      <c r="C50" s="9"/>
      <c r="D50" s="9"/>
    </row>
    <row r="55" spans="1:5" x14ac:dyDescent="0.25">
      <c r="A55" s="5" t="s">
        <v>75</v>
      </c>
      <c r="B55" s="26" t="s">
        <v>53</v>
      </c>
      <c r="C55" s="26"/>
      <c r="D55" s="20" t="s">
        <v>54</v>
      </c>
      <c r="E55" s="5" t="s">
        <v>68</v>
      </c>
    </row>
    <row r="56" spans="1:5" x14ac:dyDescent="0.25">
      <c r="A56" s="18">
        <v>46226</v>
      </c>
      <c r="B56" s="25">
        <v>160454</v>
      </c>
      <c r="C56" s="25"/>
      <c r="D56" s="21">
        <v>74464707242</v>
      </c>
      <c r="E56" s="21">
        <v>-1765745461</v>
      </c>
    </row>
    <row r="57" spans="1:5" x14ac:dyDescent="0.25">
      <c r="A57" s="18">
        <v>46227</v>
      </c>
      <c r="B57" s="25">
        <v>159246</v>
      </c>
      <c r="C57" s="25"/>
      <c r="D57" s="21">
        <v>74038207243</v>
      </c>
      <c r="E57" s="21">
        <v>-535063133</v>
      </c>
    </row>
    <row r="58" spans="1:5" x14ac:dyDescent="0.25">
      <c r="D58" s="24"/>
      <c r="E58" s="24"/>
    </row>
    <row r="59" spans="1:5" x14ac:dyDescent="0.25">
      <c r="D59" s="24"/>
      <c r="E59" s="24"/>
    </row>
    <row r="60" spans="1:5" x14ac:dyDescent="0.25">
      <c r="D60" s="24"/>
      <c r="E60" s="24"/>
    </row>
    <row r="61" spans="1:5" x14ac:dyDescent="0.25">
      <c r="D61" s="24"/>
      <c r="E61" s="24"/>
    </row>
    <row r="62" spans="1:5" x14ac:dyDescent="0.25">
      <c r="D62" s="24"/>
      <c r="E62" s="24"/>
    </row>
    <row r="63" spans="1:5" x14ac:dyDescent="0.25">
      <c r="D63" s="24"/>
      <c r="E63" s="24"/>
    </row>
    <row r="64" spans="1:5" x14ac:dyDescent="0.25">
      <c r="D64" s="24"/>
      <c r="E64" s="24"/>
    </row>
    <row r="65" spans="4:5" x14ac:dyDescent="0.25">
      <c r="D65" s="24"/>
      <c r="E65" s="24"/>
    </row>
  </sheetData>
  <mergeCells count="5"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E63"/>
  <sheetViews>
    <sheetView workbookViewId="0">
      <selection activeCell="F25" sqref="F25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5.55555555555555</v>
      </c>
      <c r="D2" s="4">
        <f>B2*C2/100</f>
        <v>0.53611111111111054</v>
      </c>
    </row>
    <row r="3" spans="1:4" x14ac:dyDescent="0.25">
      <c r="A3" s="4" t="s">
        <v>13</v>
      </c>
      <c r="B3" s="4">
        <v>9.2899999999999991</v>
      </c>
      <c r="C3" s="8">
        <v>-8.2840236686390494</v>
      </c>
      <c r="D3" s="4">
        <f t="shared" ref="D3:D36" si="0">B3*C3/100</f>
        <v>-0.76958579881656763</v>
      </c>
    </row>
    <row r="4" spans="1:4" x14ac:dyDescent="0.25">
      <c r="A4" s="4" t="s">
        <v>12</v>
      </c>
      <c r="B4" s="4">
        <v>9.24</v>
      </c>
      <c r="C4" s="8">
        <v>6.3108852181279103</v>
      </c>
      <c r="D4" s="4">
        <f t="shared" si="0"/>
        <v>0.58312579415501897</v>
      </c>
    </row>
    <row r="5" spans="1:4" x14ac:dyDescent="0.25">
      <c r="A5" s="4" t="s">
        <v>56</v>
      </c>
      <c r="B5" s="4">
        <v>6.09</v>
      </c>
      <c r="C5" s="8">
        <v>-3.7125748502993998</v>
      </c>
      <c r="D5" s="4">
        <f t="shared" si="0"/>
        <v>-0.22609580838323345</v>
      </c>
    </row>
    <row r="6" spans="1:4" x14ac:dyDescent="0.25">
      <c r="A6" s="4" t="s">
        <v>9</v>
      </c>
      <c r="B6" s="4">
        <v>4.7300000000000004</v>
      </c>
      <c r="C6" s="8">
        <v>-2.1008403361344499</v>
      </c>
      <c r="D6" s="4">
        <f t="shared" si="0"/>
        <v>-9.9369747899159491E-2</v>
      </c>
    </row>
    <row r="7" spans="1:4" x14ac:dyDescent="0.25">
      <c r="A7" s="4" t="s">
        <v>15</v>
      </c>
      <c r="B7" s="4">
        <v>4.5199999999999996</v>
      </c>
      <c r="C7" s="8">
        <v>0.61403508771929804</v>
      </c>
      <c r="D7" s="4">
        <f t="shared" si="0"/>
        <v>2.7754385964912268E-2</v>
      </c>
    </row>
    <row r="8" spans="1:4" x14ac:dyDescent="0.25">
      <c r="A8" s="4" t="s">
        <v>18</v>
      </c>
      <c r="B8" s="4">
        <v>3.4</v>
      </c>
      <c r="C8" s="8">
        <v>-2.8288822947576602</v>
      </c>
      <c r="D8" s="4">
        <f t="shared" si="0"/>
        <v>-9.6181998021760431E-2</v>
      </c>
    </row>
    <row r="9" spans="1:4" x14ac:dyDescent="0.25">
      <c r="A9" s="4" t="s">
        <v>16</v>
      </c>
      <c r="B9" s="4">
        <v>2.73</v>
      </c>
      <c r="C9" s="8">
        <v>-0.23980815347721801</v>
      </c>
      <c r="D9" s="4">
        <f t="shared" si="0"/>
        <v>-6.5467625899280511E-3</v>
      </c>
    </row>
    <row r="10" spans="1:4" x14ac:dyDescent="0.25">
      <c r="A10" s="4" t="s">
        <v>6</v>
      </c>
      <c r="B10" s="4">
        <v>2.2999999999999998</v>
      </c>
      <c r="C10" s="8">
        <v>4.41767068273092</v>
      </c>
      <c r="D10" s="4">
        <f t="shared" si="0"/>
        <v>0.10160642570281116</v>
      </c>
    </row>
    <row r="11" spans="1:4" x14ac:dyDescent="0.25">
      <c r="A11" s="4" t="s">
        <v>21</v>
      </c>
      <c r="B11" s="4">
        <v>1.67</v>
      </c>
      <c r="C11" s="8">
        <v>-1.2380952380952299</v>
      </c>
      <c r="D11" s="4">
        <f t="shared" si="0"/>
        <v>-2.0676190476190338E-2</v>
      </c>
    </row>
    <row r="12" spans="1:4" x14ac:dyDescent="0.25">
      <c r="A12" s="4" t="s">
        <v>17</v>
      </c>
      <c r="B12" s="4">
        <v>1.58</v>
      </c>
      <c r="C12" s="8">
        <v>-4.7895500725689404</v>
      </c>
      <c r="D12" s="4">
        <f t="shared" si="0"/>
        <v>-7.5674891146589263E-2</v>
      </c>
    </row>
    <row r="13" spans="1:4" x14ac:dyDescent="0.25">
      <c r="A13" s="4" t="s">
        <v>0</v>
      </c>
      <c r="B13" s="4">
        <v>1.57</v>
      </c>
      <c r="C13" s="8">
        <v>-2.4761904761904701</v>
      </c>
      <c r="D13" s="4">
        <f t="shared" si="0"/>
        <v>-3.8876190476190377E-2</v>
      </c>
    </row>
    <row r="14" spans="1:4" x14ac:dyDescent="0.25">
      <c r="A14" s="4" t="s">
        <v>19</v>
      </c>
      <c r="B14" s="4">
        <v>1.1299999999999999</v>
      </c>
      <c r="C14" s="8">
        <v>0.82028337061894097</v>
      </c>
      <c r="D14" s="4">
        <f t="shared" si="0"/>
        <v>9.2692020879940312E-3</v>
      </c>
    </row>
    <row r="15" spans="1:4" x14ac:dyDescent="0.25">
      <c r="A15" s="4" t="s">
        <v>20</v>
      </c>
      <c r="B15" s="4">
        <v>1.03</v>
      </c>
      <c r="C15" s="8">
        <v>0.300661455201443</v>
      </c>
      <c r="D15" s="4">
        <f t="shared" si="0"/>
        <v>3.096812988574863E-3</v>
      </c>
    </row>
    <row r="16" spans="1:4" x14ac:dyDescent="0.25">
      <c r="A16" s="4" t="s">
        <v>22</v>
      </c>
      <c r="B16" s="4">
        <v>0.98</v>
      </c>
      <c r="C16" s="8">
        <v>-1.18953211736716</v>
      </c>
      <c r="D16" s="4">
        <f t="shared" si="0"/>
        <v>-1.1657414750198167E-2</v>
      </c>
    </row>
    <row r="17" spans="1:4" x14ac:dyDescent="0.25">
      <c r="A17" s="4" t="s">
        <v>36</v>
      </c>
      <c r="B17" s="4">
        <v>0.87</v>
      </c>
      <c r="C17" s="8">
        <v>-9.9540581929555891</v>
      </c>
      <c r="D17" s="4">
        <f t="shared" si="0"/>
        <v>-8.6600306278713624E-2</v>
      </c>
    </row>
    <row r="18" spans="1:4" x14ac:dyDescent="0.25">
      <c r="A18" s="4" t="s">
        <v>27</v>
      </c>
      <c r="B18" s="4">
        <v>0.59</v>
      </c>
      <c r="C18" s="8">
        <v>-3.5460992907801399</v>
      </c>
      <c r="D18" s="4">
        <f t="shared" si="0"/>
        <v>-2.0921985815602825E-2</v>
      </c>
    </row>
    <row r="19" spans="1:4" x14ac:dyDescent="0.25">
      <c r="A19" s="4" t="s">
        <v>61</v>
      </c>
      <c r="B19" s="4">
        <v>0.5</v>
      </c>
      <c r="C19" s="8">
        <v>-2.0814479638008998</v>
      </c>
      <c r="D19" s="4">
        <f t="shared" si="0"/>
        <v>-1.0407239819004498E-2</v>
      </c>
    </row>
    <row r="20" spans="1:4" x14ac:dyDescent="0.25">
      <c r="A20" s="4" t="s">
        <v>39</v>
      </c>
      <c r="B20" s="4">
        <v>0.48</v>
      </c>
      <c r="C20" s="8">
        <v>2.3318385650224198</v>
      </c>
      <c r="D20" s="4">
        <f t="shared" si="0"/>
        <v>1.1192825112107613E-2</v>
      </c>
    </row>
    <row r="21" spans="1:4" x14ac:dyDescent="0.25">
      <c r="A21" s="4" t="s">
        <v>28</v>
      </c>
      <c r="B21" s="4">
        <v>0.42</v>
      </c>
      <c r="C21" s="8">
        <v>-2.9649595687331498</v>
      </c>
      <c r="D21" s="4">
        <f t="shared" si="0"/>
        <v>-1.245283018867923E-2</v>
      </c>
    </row>
    <row r="22" spans="1:4" x14ac:dyDescent="0.25">
      <c r="A22" s="4" t="s">
        <v>37</v>
      </c>
      <c r="B22" s="4">
        <v>0.4</v>
      </c>
      <c r="C22" s="8">
        <v>-1.8902439024390201</v>
      </c>
      <c r="D22" s="4">
        <f t="shared" si="0"/>
        <v>-7.5609756097560809E-3</v>
      </c>
    </row>
    <row r="23" spans="1:4" x14ac:dyDescent="0.25">
      <c r="A23" s="4" t="s">
        <v>33</v>
      </c>
      <c r="B23" s="4">
        <v>0.38</v>
      </c>
      <c r="C23" s="8">
        <v>0.74812967581047296</v>
      </c>
      <c r="D23" s="4">
        <f t="shared" si="0"/>
        <v>2.8428927680797973E-3</v>
      </c>
    </row>
    <row r="24" spans="1:4" x14ac:dyDescent="0.25">
      <c r="A24" s="4" t="s">
        <v>2</v>
      </c>
      <c r="B24" s="4">
        <v>0.25</v>
      </c>
      <c r="C24" s="8">
        <v>2.1118012422360199</v>
      </c>
      <c r="D24" s="4">
        <f t="shared" si="0"/>
        <v>5.2795031055900502E-3</v>
      </c>
    </row>
    <row r="25" spans="1:4" x14ac:dyDescent="0.25">
      <c r="A25" s="4" t="s">
        <v>38</v>
      </c>
      <c r="B25" s="4">
        <v>0.25</v>
      </c>
      <c r="C25" s="8">
        <v>-3.4453781512605</v>
      </c>
      <c r="D25" s="4">
        <f t="shared" si="0"/>
        <v>-8.6134453781512507E-3</v>
      </c>
    </row>
    <row r="26" spans="1:4" x14ac:dyDescent="0.25">
      <c r="A26" s="4" t="s">
        <v>34</v>
      </c>
      <c r="B26" s="4">
        <v>0.24</v>
      </c>
      <c r="C26" s="8">
        <v>2.0700636942675099</v>
      </c>
      <c r="D26" s="4">
        <f t="shared" si="0"/>
        <v>4.9681528662420234E-3</v>
      </c>
    </row>
    <row r="27" spans="1:4" x14ac:dyDescent="0.25">
      <c r="A27" s="4" t="s">
        <v>3</v>
      </c>
      <c r="B27" s="4">
        <v>0.23</v>
      </c>
      <c r="C27" s="8">
        <v>0.334448160535117</v>
      </c>
      <c r="D27" s="4">
        <f t="shared" si="0"/>
        <v>7.6923076923076912E-4</v>
      </c>
    </row>
    <row r="28" spans="1:4" x14ac:dyDescent="0.25">
      <c r="A28" s="4" t="s">
        <v>40</v>
      </c>
      <c r="B28" s="4">
        <v>0.2</v>
      </c>
      <c r="C28" s="8">
        <v>-1.10537951363301</v>
      </c>
      <c r="D28" s="4">
        <f t="shared" si="0"/>
        <v>-2.2107590272660202E-3</v>
      </c>
    </row>
    <row r="29" spans="1:4" x14ac:dyDescent="0.25">
      <c r="A29" s="4" t="s">
        <v>62</v>
      </c>
      <c r="B29" s="13">
        <v>0.08</v>
      </c>
      <c r="C29" s="15">
        <v>1.93905817174515</v>
      </c>
      <c r="D29" s="4">
        <f t="shared" si="0"/>
        <v>1.5512465373961201E-3</v>
      </c>
    </row>
    <row r="30" spans="1:4" x14ac:dyDescent="0.25">
      <c r="A30" s="4" t="s">
        <v>60</v>
      </c>
      <c r="B30" s="4">
        <v>0.01</v>
      </c>
      <c r="C30" s="8">
        <v>0.37641154328732701</v>
      </c>
      <c r="D30" s="4">
        <f t="shared" si="0"/>
        <v>3.7641154328732703E-5</v>
      </c>
    </row>
    <row r="31" spans="1:4" x14ac:dyDescent="0.25">
      <c r="A31" s="4" t="s">
        <v>41</v>
      </c>
      <c r="B31" s="4">
        <v>7.99</v>
      </c>
      <c r="C31" s="4">
        <v>-3.51</v>
      </c>
      <c r="D31" s="4">
        <f t="shared" si="0"/>
        <v>-0.280449</v>
      </c>
    </row>
    <row r="32" spans="1:4" x14ac:dyDescent="0.25">
      <c r="A32" s="4" t="s">
        <v>42</v>
      </c>
      <c r="B32" s="4">
        <v>7.7</v>
      </c>
      <c r="C32" s="4">
        <v>-2.16</v>
      </c>
      <c r="D32" s="4">
        <f t="shared" si="0"/>
        <v>-0.16632000000000002</v>
      </c>
    </row>
    <row r="33" spans="1:5" x14ac:dyDescent="0.25">
      <c r="A33" s="4" t="s">
        <v>57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65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66</v>
      </c>
      <c r="B35" s="4">
        <v>0.57999999999999996</v>
      </c>
      <c r="C35" s="4">
        <v>0.9</v>
      </c>
      <c r="D35" s="4">
        <f t="shared" si="0"/>
        <v>5.2199999999999998E-3</v>
      </c>
    </row>
    <row r="36" spans="1:5" x14ac:dyDescent="0.25">
      <c r="A36" s="4" t="s">
        <v>67</v>
      </c>
      <c r="B36" s="4">
        <v>0.06</v>
      </c>
      <c r="C36" s="4">
        <v>-0.45</v>
      </c>
      <c r="D36" s="4">
        <f t="shared" si="0"/>
        <v>-2.7E-4</v>
      </c>
    </row>
    <row r="37" spans="1:5" x14ac:dyDescent="0.25">
      <c r="A37" s="12" t="s">
        <v>64</v>
      </c>
      <c r="B37" s="5">
        <f>SUM(B2:B36)</f>
        <v>84.419999999999987</v>
      </c>
      <c r="D37" s="6">
        <f>SUM(D2:D36)</f>
        <v>-0.64338212035359388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5"/>
      <c r="B44" s="25"/>
      <c r="C44" s="4"/>
      <c r="D44" s="4"/>
      <c r="E44" s="17"/>
    </row>
    <row r="45" spans="1:5" x14ac:dyDescent="0.25">
      <c r="A45" s="25"/>
      <c r="B45" s="25"/>
      <c r="C45" s="9"/>
      <c r="D45" s="9"/>
    </row>
    <row r="53" spans="1:5" x14ac:dyDescent="0.25">
      <c r="A53" s="5" t="s">
        <v>75</v>
      </c>
      <c r="B53" s="26" t="s">
        <v>53</v>
      </c>
      <c r="C53" s="26"/>
      <c r="D53" s="20" t="s">
        <v>54</v>
      </c>
      <c r="E53" s="5" t="s">
        <v>68</v>
      </c>
    </row>
    <row r="54" spans="1:5" x14ac:dyDescent="0.25">
      <c r="A54" s="18">
        <v>46226</v>
      </c>
      <c r="B54" s="25">
        <v>78223</v>
      </c>
      <c r="C54" s="25"/>
      <c r="D54" s="21">
        <v>38343912280</v>
      </c>
      <c r="E54" s="22">
        <v>-656504519</v>
      </c>
    </row>
    <row r="55" spans="1:5" x14ac:dyDescent="0.25">
      <c r="A55" s="18">
        <v>46227</v>
      </c>
      <c r="B55" s="25">
        <v>78055</v>
      </c>
      <c r="C55" s="25"/>
      <c r="D55" s="21">
        <v>38547597437</v>
      </c>
      <c r="E55" s="22">
        <v>45631782</v>
      </c>
    </row>
    <row r="56" spans="1:5" x14ac:dyDescent="0.25">
      <c r="D56" s="24"/>
      <c r="E56" s="24"/>
    </row>
    <row r="57" spans="1:5" x14ac:dyDescent="0.25">
      <c r="D57" s="24"/>
      <c r="E57" s="24"/>
    </row>
    <row r="58" spans="1:5" x14ac:dyDescent="0.25">
      <c r="D58" s="24"/>
      <c r="E58" s="24"/>
    </row>
    <row r="59" spans="1:5" x14ac:dyDescent="0.25">
      <c r="D59" s="24"/>
      <c r="E59" s="24"/>
    </row>
    <row r="60" spans="1:5" x14ac:dyDescent="0.25">
      <c r="D60" s="24"/>
      <c r="E60" s="24"/>
    </row>
    <row r="61" spans="1:5" x14ac:dyDescent="0.25">
      <c r="D61" s="24"/>
      <c r="E61" s="24"/>
    </row>
    <row r="62" spans="1:5" x14ac:dyDescent="0.25">
      <c r="D62" s="24"/>
      <c r="E62" s="24"/>
    </row>
    <row r="63" spans="1:5" x14ac:dyDescent="0.25">
      <c r="D63" s="24"/>
      <c r="E63" s="24"/>
    </row>
  </sheetData>
  <mergeCells count="5"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E46"/>
  <sheetViews>
    <sheetView workbookViewId="0">
      <selection activeCell="E18" sqref="E18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2.3052959501557599</v>
      </c>
      <c r="D2" s="4">
        <f>B2*C2/100</f>
        <v>1.2160436137071633</v>
      </c>
    </row>
    <row r="3" spans="1:5" x14ac:dyDescent="0.25">
      <c r="A3" s="4" t="s">
        <v>45</v>
      </c>
      <c r="B3" s="4">
        <v>11.12</v>
      </c>
      <c r="C3" s="8">
        <v>-2.2000000000000002</v>
      </c>
      <c r="D3" s="4">
        <f t="shared" ref="D3:D5" si="0">B3*C3/100</f>
        <v>-0.24464</v>
      </c>
    </row>
    <row r="4" spans="1:5" x14ac:dyDescent="0.25">
      <c r="A4" s="4" t="s">
        <v>46</v>
      </c>
      <c r="B4" s="4">
        <v>0.53</v>
      </c>
      <c r="C4" s="8">
        <v>-6.7579908675798999</v>
      </c>
      <c r="D4" s="4">
        <f t="shared" si="0"/>
        <v>-3.5817351598173473E-2</v>
      </c>
    </row>
    <row r="5" spans="1:5" x14ac:dyDescent="0.25">
      <c r="A5" s="4" t="s">
        <v>47</v>
      </c>
      <c r="B5" s="4">
        <v>29.82</v>
      </c>
      <c r="C5" s="4">
        <v>0.61</v>
      </c>
      <c r="D5" s="4">
        <f t="shared" si="0"/>
        <v>0.18190200000000001</v>
      </c>
    </row>
    <row r="6" spans="1:5" x14ac:dyDescent="0.25">
      <c r="A6" s="12" t="s">
        <v>64</v>
      </c>
      <c r="B6" s="5">
        <f>B2++B3+B4+B5</f>
        <v>94.22</v>
      </c>
      <c r="C6" s="4"/>
      <c r="D6" s="6">
        <f>D2+D3+D4+D5</f>
        <v>1.1174882621089899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5"/>
      <c r="B10" s="25"/>
      <c r="C10" s="4"/>
      <c r="D10" s="4"/>
      <c r="E10" s="17"/>
    </row>
    <row r="11" spans="1:5" x14ac:dyDescent="0.25">
      <c r="A11" s="25"/>
      <c r="B11" s="25"/>
      <c r="C11" s="10"/>
      <c r="D11" s="10"/>
    </row>
    <row r="31" spans="1:5" x14ac:dyDescent="0.25">
      <c r="A31" s="5" t="s">
        <v>75</v>
      </c>
      <c r="B31" s="26" t="s">
        <v>53</v>
      </c>
      <c r="C31" s="26"/>
      <c r="D31" s="20" t="s">
        <v>54</v>
      </c>
      <c r="E31" s="5" t="s">
        <v>68</v>
      </c>
    </row>
    <row r="32" spans="1:5" x14ac:dyDescent="0.25">
      <c r="A32" s="23">
        <v>46226</v>
      </c>
      <c r="B32" s="25">
        <v>48221</v>
      </c>
      <c r="C32" s="25"/>
      <c r="D32" s="21">
        <v>28591206600</v>
      </c>
      <c r="E32" s="21">
        <v>578476685</v>
      </c>
    </row>
    <row r="33" spans="1:5" x14ac:dyDescent="0.25">
      <c r="A33" s="23">
        <v>46227</v>
      </c>
      <c r="B33" s="25">
        <v>48802</v>
      </c>
      <c r="C33" s="25"/>
      <c r="D33" s="21">
        <v>29255953804</v>
      </c>
      <c r="E33" s="21">
        <v>630289948</v>
      </c>
    </row>
    <row r="34" spans="1:5" x14ac:dyDescent="0.25">
      <c r="D34" s="24"/>
      <c r="E34" s="24"/>
    </row>
    <row r="35" spans="1:5" x14ac:dyDescent="0.25">
      <c r="D35" s="24"/>
      <c r="E35" s="24"/>
    </row>
    <row r="36" spans="1:5" x14ac:dyDescent="0.25">
      <c r="D36" s="24"/>
      <c r="E36" s="24"/>
    </row>
    <row r="37" spans="1:5" x14ac:dyDescent="0.25">
      <c r="D37" s="24"/>
      <c r="E37" s="24"/>
    </row>
    <row r="38" spans="1:5" x14ac:dyDescent="0.25">
      <c r="D38" s="24"/>
      <c r="E38" s="24"/>
    </row>
    <row r="39" spans="1:5" x14ac:dyDescent="0.25">
      <c r="D39" s="24"/>
      <c r="E39" s="24"/>
    </row>
    <row r="40" spans="1:5" x14ac:dyDescent="0.25">
      <c r="D40" s="24"/>
      <c r="E40" s="24"/>
    </row>
    <row r="41" spans="1:5" x14ac:dyDescent="0.25">
      <c r="D41" s="24"/>
      <c r="E41" s="24"/>
    </row>
    <row r="42" spans="1:5" x14ac:dyDescent="0.25">
      <c r="D42" s="24"/>
      <c r="E42" s="24"/>
    </row>
    <row r="43" spans="1:5" x14ac:dyDescent="0.25">
      <c r="E43" s="24"/>
    </row>
    <row r="44" spans="1:5" x14ac:dyDescent="0.25">
      <c r="E44" s="24"/>
    </row>
    <row r="45" spans="1:5" x14ac:dyDescent="0.25">
      <c r="E45" s="24"/>
    </row>
    <row r="46" spans="1:5" x14ac:dyDescent="0.25">
      <c r="E46" s="24"/>
    </row>
  </sheetData>
  <mergeCells count="5"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55"/>
  <sheetViews>
    <sheetView workbookViewId="0">
      <selection activeCell="C52" sqref="C52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69</v>
      </c>
      <c r="B2" s="4">
        <v>42.54</v>
      </c>
      <c r="C2" s="3">
        <v>-1.19760479041916</v>
      </c>
      <c r="D2" s="7">
        <f>B2*C2/100</f>
        <v>-0.50946107784431061</v>
      </c>
    </row>
    <row r="3" spans="1:6" x14ac:dyDescent="0.25">
      <c r="A3" t="s">
        <v>70</v>
      </c>
      <c r="B3" s="4">
        <v>32.340000000000003</v>
      </c>
      <c r="C3" s="3">
        <v>-1.1472275334608</v>
      </c>
      <c r="D3" s="7">
        <f t="shared" ref="D3:D7" si="0">B3*C3/100</f>
        <v>-0.37101338432122277</v>
      </c>
    </row>
    <row r="4" spans="1:6" x14ac:dyDescent="0.25">
      <c r="A4" t="s">
        <v>71</v>
      </c>
      <c r="B4" s="4">
        <v>12.21</v>
      </c>
      <c r="C4" s="3">
        <v>-0.91074681238615596</v>
      </c>
      <c r="D4" s="7">
        <f t="shared" si="0"/>
        <v>-0.11120218579234965</v>
      </c>
    </row>
    <row r="5" spans="1:6" x14ac:dyDescent="0.25">
      <c r="A5" t="s">
        <v>72</v>
      </c>
      <c r="B5" s="4">
        <v>10.92</v>
      </c>
      <c r="C5" s="3">
        <v>-0.121310149615851</v>
      </c>
      <c r="D5" s="7">
        <f t="shared" si="0"/>
        <v>-1.3247068338050928E-2</v>
      </c>
    </row>
    <row r="6" spans="1:6" x14ac:dyDescent="0.25">
      <c r="A6" t="s">
        <v>73</v>
      </c>
      <c r="B6" s="4">
        <v>5.89</v>
      </c>
      <c r="C6" s="3">
        <v>-0.57261842790213402</v>
      </c>
      <c r="D6" s="7">
        <f t="shared" si="0"/>
        <v>-3.3727225403435687E-2</v>
      </c>
    </row>
    <row r="7" spans="1:6" x14ac:dyDescent="0.25">
      <c r="A7" t="s">
        <v>74</v>
      </c>
      <c r="B7" s="4">
        <v>5.68</v>
      </c>
      <c r="C7" s="3">
        <v>-2.6785714285714199</v>
      </c>
      <c r="D7" s="7">
        <f t="shared" si="0"/>
        <v>-0.15214285714285664</v>
      </c>
    </row>
    <row r="8" spans="1:6" x14ac:dyDescent="0.25">
      <c r="A8" s="16" t="s">
        <v>64</v>
      </c>
      <c r="B8" s="5">
        <f>B2+B3+B4+B5+B6+B7</f>
        <v>109.58000000000001</v>
      </c>
      <c r="C8" s="5"/>
      <c r="D8" s="6">
        <f>D2+D3+D4+D5+D6+D7</f>
        <v>-1.1907937988422264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5"/>
      <c r="B13" s="25"/>
      <c r="C13" s="4"/>
      <c r="D13" s="4"/>
      <c r="E13" s="4"/>
      <c r="F13" s="17"/>
    </row>
    <row r="14" spans="1:6" x14ac:dyDescent="0.25">
      <c r="A14" s="25"/>
      <c r="B14" s="25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5" x14ac:dyDescent="0.25">
      <c r="A37" s="5" t="s">
        <v>75</v>
      </c>
      <c r="B37" s="26" t="s">
        <v>53</v>
      </c>
      <c r="C37" s="26"/>
      <c r="D37" s="20" t="s">
        <v>54</v>
      </c>
      <c r="E37" s="5" t="s">
        <v>68</v>
      </c>
    </row>
    <row r="38" spans="1:5" x14ac:dyDescent="0.25">
      <c r="A38" s="23">
        <v>46226</v>
      </c>
      <c r="B38" s="25">
        <v>6356</v>
      </c>
      <c r="C38" s="25"/>
      <c r="D38" s="21">
        <v>1033181017</v>
      </c>
      <c r="E38" s="21">
        <v>95865997</v>
      </c>
    </row>
    <row r="39" spans="1:5" x14ac:dyDescent="0.25">
      <c r="A39" s="23">
        <v>46227</v>
      </c>
      <c r="B39" s="25">
        <v>6609</v>
      </c>
      <c r="C39" s="25"/>
      <c r="D39" s="21">
        <v>1076556627</v>
      </c>
      <c r="E39" s="21">
        <v>42490384</v>
      </c>
    </row>
    <row r="40" spans="1:5" x14ac:dyDescent="0.25">
      <c r="E40" s="24"/>
    </row>
    <row r="41" spans="1:5" x14ac:dyDescent="0.25">
      <c r="E41" s="24"/>
    </row>
    <row r="42" spans="1:5" x14ac:dyDescent="0.25">
      <c r="E42" s="24"/>
    </row>
    <row r="43" spans="1:5" x14ac:dyDescent="0.25">
      <c r="E43" s="24"/>
    </row>
    <row r="44" spans="1:5" x14ac:dyDescent="0.25">
      <c r="E44" s="24"/>
    </row>
    <row r="45" spans="1:5" x14ac:dyDescent="0.25">
      <c r="E45" s="24"/>
    </row>
    <row r="46" spans="1:5" x14ac:dyDescent="0.25">
      <c r="E46" s="24"/>
    </row>
    <row r="47" spans="1:5" x14ac:dyDescent="0.25">
      <c r="E47" s="24"/>
    </row>
    <row r="48" spans="1:5" x14ac:dyDescent="0.25">
      <c r="E48" s="24"/>
    </row>
    <row r="49" spans="5:5" x14ac:dyDescent="0.25">
      <c r="E49" s="24"/>
    </row>
    <row r="50" spans="5:5" x14ac:dyDescent="0.25">
      <c r="E50" s="24"/>
    </row>
    <row r="51" spans="5:5" x14ac:dyDescent="0.25">
      <c r="E51" s="24"/>
    </row>
    <row r="52" spans="5:5" x14ac:dyDescent="0.25">
      <c r="E52" s="24"/>
    </row>
    <row r="53" spans="5:5" x14ac:dyDescent="0.25">
      <c r="E53" s="24"/>
    </row>
    <row r="54" spans="5:5" x14ac:dyDescent="0.25">
      <c r="E54" s="24"/>
    </row>
    <row r="55" spans="5:5" x14ac:dyDescent="0.25">
      <c r="E55" s="24"/>
    </row>
  </sheetData>
  <mergeCells count="5">
    <mergeCell ref="A13:B13"/>
    <mergeCell ref="A14:B14"/>
    <mergeCell ref="B37:C37"/>
    <mergeCell ref="B38:C38"/>
    <mergeCell ref="B39:C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BMU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2026-07-24T18:38:29Z</dcterms:modified>
</cp:coreProperties>
</file>