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6566B9FD-169C-4F31-B0A0-6B705A318CF5}" xr6:coauthVersionLast="47" xr6:coauthVersionMax="47" xr10:uidLastSave="{00000000-0000-0000-0000-000000000000}"/>
  <bookViews>
    <workbookView xWindow="-18975" yWindow="1350" windowWidth="12270" windowHeight="19485" firstSheet="1" activeTab="5" xr2:uid="{00000000-000D-0000-FFFF-FFFF00000000}"/>
  </bookViews>
  <sheets>
    <sheet name="TLY" sheetId="1" r:id="rId1"/>
    <sheet name="PHE" sheetId="2" r:id="rId2"/>
    <sheet name="PBR" sheetId="3" r:id="rId3"/>
    <sheet name="DFI" sheetId="4" r:id="rId4"/>
    <sheet name="KHA" sheetId="7" r:id="rId5"/>
    <sheet name="THF" sheetId="8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0" i="8" l="1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1" i="8"/>
  <c r="D10" i="8"/>
  <c r="D9" i="8"/>
  <c r="D8" i="8"/>
  <c r="D7" i="8"/>
  <c r="D6" i="8"/>
  <c r="D5" i="8"/>
  <c r="D4" i="8"/>
  <c r="D3" i="8"/>
  <c r="D2" i="8"/>
  <c r="D47" i="7"/>
  <c r="D46" i="7"/>
  <c r="D44" i="7"/>
  <c r="D43" i="7"/>
  <c r="D42" i="7"/>
  <c r="D41" i="7"/>
  <c r="D40" i="7"/>
  <c r="D39" i="7"/>
  <c r="D38" i="7"/>
  <c r="D36" i="7"/>
  <c r="D35" i="7"/>
  <c r="D34" i="7"/>
  <c r="D33" i="7"/>
  <c r="D32" i="7"/>
  <c r="D31" i="7"/>
  <c r="D30" i="7"/>
  <c r="D28" i="7"/>
  <c r="D27" i="7"/>
  <c r="D26" i="7"/>
  <c r="D25" i="7"/>
  <c r="D24" i="7"/>
  <c r="D23" i="7"/>
  <c r="D22" i="7"/>
  <c r="D20" i="7"/>
  <c r="D19" i="7"/>
  <c r="D18" i="7"/>
  <c r="D17" i="7"/>
  <c r="D16" i="7"/>
  <c r="D15" i="7"/>
  <c r="D14" i="7"/>
  <c r="D12" i="7"/>
  <c r="D11" i="7"/>
  <c r="D10" i="7"/>
  <c r="D9" i="7"/>
  <c r="D8" i="7"/>
  <c r="D7" i="7"/>
  <c r="D6" i="7"/>
  <c r="D5" i="7"/>
  <c r="D4" i="7"/>
  <c r="D3" i="7"/>
  <c r="D2" i="7"/>
  <c r="D4" i="4"/>
  <c r="D3" i="4"/>
  <c r="D2" i="4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D22" i="2"/>
  <c r="D21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B21" i="1"/>
  <c r="D20" i="1"/>
  <c r="D19" i="1"/>
  <c r="D45" i="7"/>
  <c r="D37" i="7"/>
  <c r="D29" i="7"/>
  <c r="D21" i="7"/>
  <c r="D13" i="7"/>
  <c r="D20" i="2"/>
  <c r="B31" i="8"/>
  <c r="B50" i="7"/>
  <c r="D49" i="7"/>
  <c r="D48" i="7"/>
  <c r="B10" i="4"/>
  <c r="D9" i="4"/>
  <c r="D8" i="4"/>
  <c r="D7" i="4"/>
  <c r="D6" i="4"/>
  <c r="D5" i="4"/>
  <c r="B22" i="3"/>
  <c r="D21" i="3"/>
  <c r="D20" i="3"/>
  <c r="D19" i="3"/>
  <c r="D18" i="3"/>
  <c r="D17" i="3"/>
  <c r="B27" i="2"/>
  <c r="D26" i="2"/>
  <c r="D25" i="2"/>
  <c r="D24" i="2"/>
  <c r="D23" i="2"/>
  <c r="D21" i="1" l="1"/>
  <c r="D31" i="8"/>
  <c r="D50" i="7"/>
  <c r="D10" i="4"/>
  <c r="D22" i="3"/>
  <c r="D27" i="2"/>
</calcChain>
</file>

<file path=xl/sharedStrings.xml><?xml version="1.0" encoding="utf-8"?>
<sst xmlns="http://schemas.openxmlformats.org/spreadsheetml/2006/main" count="179" uniqueCount="105">
  <si>
    <t>DSTKF</t>
  </si>
  <si>
    <t>OZATD</t>
  </si>
  <si>
    <t>TERA</t>
  </si>
  <si>
    <t>PEKGY</t>
  </si>
  <si>
    <t>TRHOL</t>
  </si>
  <si>
    <t>TEHOL</t>
  </si>
  <si>
    <t>ANELE</t>
  </si>
  <si>
    <t>ALKLC</t>
  </si>
  <si>
    <t>SVGYO</t>
  </si>
  <si>
    <t>HEDEF</t>
  </si>
  <si>
    <t>ETKİ</t>
  </si>
  <si>
    <t>KAPANIŞ MARJI</t>
  </si>
  <si>
    <t>GUNDG</t>
  </si>
  <si>
    <t>KTLEV</t>
  </si>
  <si>
    <t>ODINE</t>
  </si>
  <si>
    <t>PASEU</t>
  </si>
  <si>
    <t>THYAO</t>
  </si>
  <si>
    <t>TATEN</t>
  </si>
  <si>
    <t>TRALT</t>
  </si>
  <si>
    <t>AKBNK</t>
  </si>
  <si>
    <t>YKBNK</t>
  </si>
  <si>
    <t>TCELL</t>
  </si>
  <si>
    <t>MGROS</t>
  </si>
  <si>
    <t>SAHOL</t>
  </si>
  <si>
    <t>KCHOL</t>
  </si>
  <si>
    <t>ISCTR</t>
  </si>
  <si>
    <t>BIMAS</t>
  </si>
  <si>
    <t>DAPGM</t>
  </si>
  <si>
    <t>GARAN</t>
  </si>
  <si>
    <t>AKSEN</t>
  </si>
  <si>
    <t>ALVES</t>
  </si>
  <si>
    <t>PGSUS</t>
  </si>
  <si>
    <t>IZFAS</t>
  </si>
  <si>
    <t>SKBNK</t>
  </si>
  <si>
    <t>BRSAN</t>
  </si>
  <si>
    <t>PKZ</t>
  </si>
  <si>
    <t>PCS</t>
  </si>
  <si>
    <t>SEMBOL</t>
  </si>
  <si>
    <t>FON ORANI</t>
  </si>
  <si>
    <t>ISKPL</t>
  </si>
  <si>
    <t>LIDER</t>
  </si>
  <si>
    <t>ABG</t>
  </si>
  <si>
    <t>IEYHO</t>
  </si>
  <si>
    <t>SELEC</t>
  </si>
  <si>
    <t>MANAS</t>
  </si>
  <si>
    <t>HMV</t>
  </si>
  <si>
    <t>ETKİ ORANI</t>
  </si>
  <si>
    <t>BALSU</t>
  </si>
  <si>
    <t>PRY</t>
  </si>
  <si>
    <t>IZENR</t>
  </si>
  <si>
    <t>TAVHL</t>
  </si>
  <si>
    <t>MOPAS</t>
  </si>
  <si>
    <t>EREGL</t>
  </si>
  <si>
    <t>Toplam</t>
  </si>
  <si>
    <t>PA2</t>
  </si>
  <si>
    <t>EUPWR</t>
  </si>
  <si>
    <t>KORDS</t>
  </si>
  <si>
    <t>AEFES</t>
  </si>
  <si>
    <t>ARCLK</t>
  </si>
  <si>
    <t>ULKER</t>
  </si>
  <si>
    <t>HALKB</t>
  </si>
  <si>
    <t>ATATR</t>
  </si>
  <si>
    <t>PETKM</t>
  </si>
  <si>
    <t>TOASO</t>
  </si>
  <si>
    <t>ISMEN</t>
  </si>
  <si>
    <t>CCOLA</t>
  </si>
  <si>
    <t>ALARK</t>
  </si>
  <si>
    <t>AGHOL</t>
  </si>
  <si>
    <t>FROTO</t>
  </si>
  <si>
    <t>MAVI</t>
  </si>
  <si>
    <t>BRKO</t>
  </si>
  <si>
    <t>ASELS</t>
  </si>
  <si>
    <t>TURSG</t>
  </si>
  <si>
    <t>KGYO</t>
  </si>
  <si>
    <t>TUPRS</t>
  </si>
  <si>
    <t>BIZIM</t>
  </si>
  <si>
    <t>ORZAX</t>
  </si>
  <si>
    <t>NETCD</t>
  </si>
  <si>
    <t>BARMA</t>
  </si>
  <si>
    <t>MCARD</t>
  </si>
  <si>
    <t>GLRMK</t>
  </si>
  <si>
    <t>EGEGY</t>
  </si>
  <si>
    <t>TABGD</t>
  </si>
  <si>
    <t>BIGEN</t>
  </si>
  <si>
    <t>SARAE</t>
  </si>
  <si>
    <t>GESAN</t>
  </si>
  <si>
    <t>TMPOL</t>
  </si>
  <si>
    <t>T3B</t>
  </si>
  <si>
    <t>PDG</t>
  </si>
  <si>
    <t>PHN</t>
  </si>
  <si>
    <t>PSE</t>
  </si>
  <si>
    <t>BAC</t>
  </si>
  <si>
    <t>KVR</t>
  </si>
  <si>
    <t>PFS</t>
  </si>
  <si>
    <t>CWENE</t>
  </si>
  <si>
    <t>PSGYO</t>
  </si>
  <si>
    <t>GLRYH</t>
  </si>
  <si>
    <t>A1CAP</t>
  </si>
  <si>
    <t>KARCL</t>
  </si>
  <si>
    <t>PKV</t>
  </si>
  <si>
    <t>PIS</t>
  </si>
  <si>
    <t>MOBTL</t>
  </si>
  <si>
    <t>BSOKE</t>
  </si>
  <si>
    <t>RUZYE</t>
  </si>
  <si>
    <t>RNPOL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</si>
</sst>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&quot;₺&quot;#,##0.00"/>
    <numFmt numFmtId="166" formatCode="0.000"/>
    <numFmt numFmtId="167" formatCode="&quot;₺&quot;#,##0"/>
    <numFmt numFmtId="168" formatCode="0.000000"/>
  </numFmts>
  <fonts count="6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3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5" fillId="0" borderId="0" xfId="0" applyNumberFormat="1" applyFont="1" applyAlignment="1">
      <alignment horizontal="center" vertical="center"/>
    </xf>
    <xf numFmtId="0" fontId="4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2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workbookViewId="0">
      <selection activeCell="C2" sqref="C2:C20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20" customWidth="1"/>
  </cols>
  <sheetData>
    <row r="1" spans="1:4" x14ac:dyDescent="0.25">
      <c r="A1" s="2" t="s">
        <v>37</v>
      </c>
      <c r="B1" s="2" t="s">
        <v>38</v>
      </c>
      <c r="C1" s="1" t="s">
        <v>11</v>
      </c>
      <c r="D1" s="1" t="s">
        <v>10</v>
      </c>
    </row>
    <row r="2" spans="1:4" x14ac:dyDescent="0.25">
      <c r="A2" s="4" t="s">
        <v>1</v>
      </c>
      <c r="B2" s="4">
        <v>31.85</v>
      </c>
      <c r="C2" s="3">
        <v>-1.1235955056179701</v>
      </c>
      <c r="D2" s="7">
        <f>B2*C2/100</f>
        <v>-0.35786516853932349</v>
      </c>
    </row>
    <row r="3" spans="1:4" x14ac:dyDescent="0.25">
      <c r="A3" s="4" t="s">
        <v>0</v>
      </c>
      <c r="B3" s="4">
        <v>13.91</v>
      </c>
      <c r="C3" s="3">
        <v>1.0582010582010499</v>
      </c>
      <c r="D3" s="7">
        <f>B3*C3/100</f>
        <v>0.14719576719576605</v>
      </c>
    </row>
    <row r="4" spans="1:4" x14ac:dyDescent="0.25">
      <c r="A4" s="4" t="s">
        <v>5</v>
      </c>
      <c r="B4" s="4">
        <v>8.77</v>
      </c>
      <c r="C4" s="3">
        <v>0.48971596474044998</v>
      </c>
      <c r="D4" s="7">
        <f t="shared" ref="D4:D20" si="0">B4*C4/100</f>
        <v>4.2948090107737459E-2</v>
      </c>
    </row>
    <row r="5" spans="1:4" x14ac:dyDescent="0.25">
      <c r="A5" s="4" t="s">
        <v>3</v>
      </c>
      <c r="B5" s="4">
        <v>7.16</v>
      </c>
      <c r="C5" s="3">
        <v>0.65359477124182996</v>
      </c>
      <c r="D5" s="7">
        <f t="shared" si="0"/>
        <v>4.6797385620915025E-2</v>
      </c>
    </row>
    <row r="6" spans="1:4" x14ac:dyDescent="0.25">
      <c r="A6" s="4" t="s">
        <v>2</v>
      </c>
      <c r="B6" s="4">
        <v>2.91</v>
      </c>
      <c r="C6" s="3">
        <v>0.168350168350168</v>
      </c>
      <c r="D6" s="7">
        <f t="shared" si="0"/>
        <v>4.8989898989898889E-3</v>
      </c>
    </row>
    <row r="7" spans="1:4" x14ac:dyDescent="0.25">
      <c r="A7" s="4" t="s">
        <v>4</v>
      </c>
      <c r="B7" s="4">
        <v>4.21</v>
      </c>
      <c r="C7" s="3">
        <v>3.91705069124423</v>
      </c>
      <c r="D7" s="7">
        <f t="shared" si="0"/>
        <v>0.16490783410138207</v>
      </c>
    </row>
    <row r="8" spans="1:4" x14ac:dyDescent="0.25">
      <c r="A8" s="4" t="s">
        <v>6</v>
      </c>
      <c r="B8" s="4">
        <v>2.04</v>
      </c>
      <c r="C8" s="3">
        <v>0.65264684554024599</v>
      </c>
      <c r="D8" s="7">
        <f t="shared" si="0"/>
        <v>1.3313995649021018E-2</v>
      </c>
    </row>
    <row r="9" spans="1:4" x14ac:dyDescent="0.25">
      <c r="A9" s="4" t="s">
        <v>7</v>
      </c>
      <c r="B9" s="4">
        <v>1.6</v>
      </c>
      <c r="C9" s="3">
        <v>0.11764705882352899</v>
      </c>
      <c r="D9" s="7">
        <f t="shared" si="0"/>
        <v>1.8823529411764639E-3</v>
      </c>
    </row>
    <row r="10" spans="1:4" x14ac:dyDescent="0.25">
      <c r="A10" s="4" t="s">
        <v>43</v>
      </c>
      <c r="B10" s="4">
        <v>1.6</v>
      </c>
      <c r="C10" s="3">
        <v>1.82555780933062</v>
      </c>
      <c r="D10" s="7">
        <f t="shared" si="0"/>
        <v>2.9208924949289922E-2</v>
      </c>
    </row>
    <row r="11" spans="1:4" x14ac:dyDescent="0.25">
      <c r="A11" s="4" t="s">
        <v>83</v>
      </c>
      <c r="B11" s="4">
        <v>1.7</v>
      </c>
      <c r="C11" s="3">
        <v>5.07936507936508</v>
      </c>
      <c r="D11" s="7">
        <f t="shared" si="0"/>
        <v>8.6349206349206356E-2</v>
      </c>
    </row>
    <row r="12" spans="1:4" x14ac:dyDescent="0.25">
      <c r="A12" s="4" t="s">
        <v>9</v>
      </c>
      <c r="B12" s="4">
        <v>0.3</v>
      </c>
      <c r="C12" s="3">
        <v>-9.9715099715099704</v>
      </c>
      <c r="D12" s="7">
        <f t="shared" si="0"/>
        <v>-2.9914529914529909E-2</v>
      </c>
    </row>
    <row r="13" spans="1:4" x14ac:dyDescent="0.25">
      <c r="A13" s="4" t="s">
        <v>8</v>
      </c>
      <c r="B13" s="4">
        <v>0.5</v>
      </c>
      <c r="C13" s="3">
        <v>-0.97213220998055705</v>
      </c>
      <c r="D13" s="7">
        <f t="shared" si="0"/>
        <v>-4.8606610499027855E-3</v>
      </c>
    </row>
    <row r="14" spans="1:4" x14ac:dyDescent="0.25">
      <c r="A14" s="4" t="s">
        <v>55</v>
      </c>
      <c r="B14" s="4">
        <v>0.2</v>
      </c>
      <c r="C14" s="3">
        <v>5.7096247960848201</v>
      </c>
      <c r="D14" s="7">
        <f t="shared" si="0"/>
        <v>1.1419249592169641E-2</v>
      </c>
    </row>
    <row r="15" spans="1:4" x14ac:dyDescent="0.25">
      <c r="A15" s="4" t="s">
        <v>44</v>
      </c>
      <c r="B15" s="4">
        <v>0.3</v>
      </c>
      <c r="C15" s="3">
        <v>4.0148239654107396</v>
      </c>
      <c r="D15" s="7">
        <f t="shared" si="0"/>
        <v>1.2044471896232218E-2</v>
      </c>
    </row>
    <row r="16" spans="1:4" x14ac:dyDescent="0.25">
      <c r="A16" s="4" t="s">
        <v>84</v>
      </c>
      <c r="B16" s="4">
        <v>0.2</v>
      </c>
      <c r="C16" s="3">
        <v>-1.50425114453891</v>
      </c>
      <c r="D16" s="7">
        <f t="shared" si="0"/>
        <v>-3.00850228907782E-3</v>
      </c>
    </row>
    <row r="17" spans="1:6" x14ac:dyDescent="0.25">
      <c r="A17" s="4" t="s">
        <v>27</v>
      </c>
      <c r="B17" s="4">
        <v>0.1</v>
      </c>
      <c r="C17" s="3">
        <v>-0.23121387283236899</v>
      </c>
      <c r="D17" s="7">
        <f t="shared" si="0"/>
        <v>-2.3121387283236899E-4</v>
      </c>
    </row>
    <row r="18" spans="1:6" x14ac:dyDescent="0.25">
      <c r="A18" s="4" t="s">
        <v>86</v>
      </c>
      <c r="B18" s="4">
        <v>0.1</v>
      </c>
      <c r="C18" s="3">
        <v>8.7768440709617099</v>
      </c>
      <c r="D18" s="7">
        <f t="shared" si="0"/>
        <v>8.7768440709617094E-3</v>
      </c>
    </row>
    <row r="19" spans="1:6" x14ac:dyDescent="0.25">
      <c r="A19" s="4" t="s">
        <v>45</v>
      </c>
      <c r="B19" s="4">
        <v>4.41</v>
      </c>
      <c r="C19" s="3">
        <v>0.59</v>
      </c>
      <c r="D19" s="7">
        <f t="shared" si="0"/>
        <v>2.6019E-2</v>
      </c>
    </row>
    <row r="20" spans="1:6" x14ac:dyDescent="0.25">
      <c r="A20" s="4" t="s">
        <v>87</v>
      </c>
      <c r="B20" s="4">
        <v>0.01</v>
      </c>
      <c r="C20" s="3">
        <v>1.17</v>
      </c>
      <c r="D20" s="7">
        <f t="shared" si="0"/>
        <v>1.17E-4</v>
      </c>
    </row>
    <row r="21" spans="1:6" x14ac:dyDescent="0.25">
      <c r="A21" s="5" t="s">
        <v>53</v>
      </c>
      <c r="B21" s="5">
        <f>B2+B3+B4+B5+B6+B7+B8+B9+B10+B11+B12+B13+B14+B15+B16+B17+B18+B19+B20</f>
        <v>81.869999999999976</v>
      </c>
      <c r="C21" s="5"/>
      <c r="D21" s="6">
        <f>D2+D3+D4+D5+D6+D7+D8+D9+D10+D11+D12+D13+D14+D15+D16+D17+D18+D19+D20</f>
        <v>0.19999903670718147</v>
      </c>
    </row>
    <row r="22" spans="1:6" x14ac:dyDescent="0.25">
      <c r="A22" s="4"/>
      <c r="B22" s="4"/>
      <c r="C22" s="3"/>
      <c r="D22" s="7"/>
    </row>
    <row r="23" spans="1:6" x14ac:dyDescent="0.25">
      <c r="A23" s="4"/>
      <c r="B23" s="4"/>
      <c r="C23" s="3"/>
      <c r="D23" s="7"/>
    </row>
    <row r="24" spans="1:6" x14ac:dyDescent="0.25">
      <c r="A24" s="5"/>
      <c r="B24" s="5"/>
      <c r="C24" s="5"/>
      <c r="D24" s="6"/>
    </row>
    <row r="25" spans="1:6" x14ac:dyDescent="0.25">
      <c r="A25" s="16"/>
      <c r="B25" s="5"/>
      <c r="C25" s="5"/>
      <c r="D25" s="6"/>
    </row>
    <row r="27" spans="1:6" x14ac:dyDescent="0.25">
      <c r="C27" s="5"/>
    </row>
    <row r="28" spans="1:6" x14ac:dyDescent="0.25">
      <c r="C28" s="4"/>
      <c r="D28" s="4"/>
      <c r="E28" s="4"/>
    </row>
    <row r="29" spans="1:6" x14ac:dyDescent="0.25">
      <c r="A29" s="31"/>
      <c r="B29" s="31"/>
      <c r="C29" s="4"/>
      <c r="D29" s="4"/>
      <c r="E29" s="17"/>
    </row>
    <row r="30" spans="1:6" x14ac:dyDescent="0.25">
      <c r="A30" s="31"/>
      <c r="B30" s="31"/>
      <c r="C30" s="9"/>
      <c r="D30" s="19"/>
    </row>
    <row r="31" spans="1:6" x14ac:dyDescent="0.25">
      <c r="A31" s="5"/>
      <c r="B31" s="32"/>
      <c r="C31" s="32"/>
      <c r="D31" s="20"/>
      <c r="E31" s="5"/>
      <c r="F31" s="5"/>
    </row>
    <row r="32" spans="1:6" x14ac:dyDescent="0.25">
      <c r="A32" s="18"/>
      <c r="B32" s="31"/>
      <c r="C32" s="31"/>
      <c r="D32" s="25"/>
      <c r="E32" s="21"/>
      <c r="F32" s="24"/>
    </row>
    <row r="33" spans="1:6" x14ac:dyDescent="0.25">
      <c r="A33" s="18"/>
      <c r="B33" s="31"/>
      <c r="C33" s="31"/>
      <c r="D33" s="25"/>
      <c r="E33" s="22"/>
      <c r="F33" s="24"/>
    </row>
    <row r="34" spans="1:6" x14ac:dyDescent="0.25">
      <c r="A34" s="18"/>
      <c r="B34" s="31"/>
      <c r="C34" s="31"/>
      <c r="D34" s="25"/>
      <c r="E34" s="22"/>
      <c r="F34" s="24"/>
    </row>
    <row r="35" spans="1:6" x14ac:dyDescent="0.25">
      <c r="A35" s="18"/>
      <c r="B35" s="31"/>
      <c r="C35" s="31"/>
      <c r="D35" s="25"/>
      <c r="E35" s="22"/>
      <c r="F35" s="24"/>
    </row>
    <row r="36" spans="1:6" x14ac:dyDescent="0.25">
      <c r="A36" s="18"/>
      <c r="B36" s="31"/>
      <c r="C36" s="31"/>
      <c r="D36" s="25"/>
      <c r="E36" s="22"/>
      <c r="F36" s="24"/>
    </row>
    <row r="37" spans="1:6" x14ac:dyDescent="0.25">
      <c r="A37" s="18"/>
      <c r="B37" s="31"/>
      <c r="C37" s="31"/>
      <c r="D37" s="25"/>
      <c r="E37" s="22"/>
      <c r="F37" s="24"/>
    </row>
    <row r="38" spans="1:6" x14ac:dyDescent="0.25">
      <c r="A38" s="18"/>
      <c r="B38" s="31"/>
      <c r="C38" s="31"/>
      <c r="D38" s="25"/>
      <c r="E38" s="22"/>
      <c r="F38" s="24"/>
    </row>
    <row r="39" spans="1:6" x14ac:dyDescent="0.25">
      <c r="A39" s="18"/>
      <c r="B39" s="31"/>
      <c r="C39" s="31"/>
      <c r="D39" s="25"/>
      <c r="E39" s="22"/>
      <c r="F39" s="24"/>
    </row>
    <row r="40" spans="1:6" x14ac:dyDescent="0.25">
      <c r="A40" s="18"/>
      <c r="B40" s="31"/>
      <c r="C40" s="31"/>
      <c r="D40" s="25"/>
      <c r="E40" s="22"/>
      <c r="F40" s="24"/>
    </row>
    <row r="41" spans="1:6" x14ac:dyDescent="0.25">
      <c r="A41" s="18"/>
      <c r="B41" s="31"/>
      <c r="C41" s="31"/>
      <c r="D41" s="25"/>
      <c r="E41" s="22"/>
      <c r="F41" s="24"/>
    </row>
    <row r="42" spans="1:6" x14ac:dyDescent="0.25">
      <c r="A42" s="18"/>
      <c r="B42" s="31"/>
      <c r="C42" s="31"/>
      <c r="D42" s="25"/>
      <c r="E42" s="22"/>
      <c r="F42" s="24"/>
    </row>
    <row r="43" spans="1:6" x14ac:dyDescent="0.25">
      <c r="A43" s="18"/>
      <c r="B43" s="31"/>
      <c r="C43" s="31"/>
      <c r="D43" s="25"/>
      <c r="E43" s="22"/>
      <c r="F43" s="24"/>
    </row>
    <row r="44" spans="1:6" x14ac:dyDescent="0.25">
      <c r="A44" s="18"/>
      <c r="B44" s="31"/>
      <c r="C44" s="31"/>
      <c r="D44" s="25"/>
      <c r="E44" s="22"/>
      <c r="F44" s="24"/>
    </row>
  </sheetData>
  <mergeCells count="16">
    <mergeCell ref="B44:C44"/>
    <mergeCell ref="B43:C43"/>
    <mergeCell ref="B42:C42"/>
    <mergeCell ref="B36:C36"/>
    <mergeCell ref="A29:B29"/>
    <mergeCell ref="A30:B30"/>
    <mergeCell ref="B31:C31"/>
    <mergeCell ref="B32:C32"/>
    <mergeCell ref="B35:C35"/>
    <mergeCell ref="B34:C34"/>
    <mergeCell ref="B33:C33"/>
    <mergeCell ref="B41:C41"/>
    <mergeCell ref="B40:C40"/>
    <mergeCell ref="B39:C39"/>
    <mergeCell ref="B38:C38"/>
    <mergeCell ref="B37:C37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DCB2-2AE4-47FF-8CDC-B26B49C81EBA}">
  <dimension ref="A1:F81"/>
  <sheetViews>
    <sheetView workbookViewId="0">
      <selection activeCell="C2" sqref="C2:C26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  <col min="6" max="6" width="11.28515625" customWidth="1"/>
  </cols>
  <sheetData>
    <row r="1" spans="1:4" x14ac:dyDescent="0.25">
      <c r="A1" s="2" t="s">
        <v>37</v>
      </c>
      <c r="B1" s="2" t="s">
        <v>46</v>
      </c>
      <c r="C1" s="1" t="s">
        <v>11</v>
      </c>
      <c r="D1" s="1" t="s">
        <v>10</v>
      </c>
    </row>
    <row r="2" spans="1:4" x14ac:dyDescent="0.25">
      <c r="A2" s="4" t="s">
        <v>14</v>
      </c>
      <c r="B2" s="4">
        <v>15.5</v>
      </c>
      <c r="C2" s="27">
        <v>2.1943573667711598</v>
      </c>
      <c r="D2" s="4">
        <f>B2*C2/100</f>
        <v>0.34012539184952978</v>
      </c>
    </row>
    <row r="3" spans="1:4" x14ac:dyDescent="0.25">
      <c r="A3" s="4" t="s">
        <v>15</v>
      </c>
      <c r="B3" s="4">
        <v>11.91</v>
      </c>
      <c r="C3" s="27">
        <v>9.0322580645161299</v>
      </c>
      <c r="D3" s="4">
        <f t="shared" ref="D3:D26" si="0">B3*C3/100</f>
        <v>1.0757419354838711</v>
      </c>
    </row>
    <row r="4" spans="1:4" x14ac:dyDescent="0.25">
      <c r="A4" s="4" t="s">
        <v>12</v>
      </c>
      <c r="B4" s="4">
        <v>10.17</v>
      </c>
      <c r="C4" s="27">
        <v>-9.9703264094955397</v>
      </c>
      <c r="D4" s="4">
        <f t="shared" si="0"/>
        <v>-1.0139821958456965</v>
      </c>
    </row>
    <row r="5" spans="1:4" x14ac:dyDescent="0.25">
      <c r="A5" s="4" t="s">
        <v>13</v>
      </c>
      <c r="B5" s="4">
        <v>9.48</v>
      </c>
      <c r="C5" s="27">
        <v>5.1625239005736097</v>
      </c>
      <c r="D5" s="4">
        <f t="shared" si="0"/>
        <v>0.48940726577437821</v>
      </c>
    </row>
    <row r="6" spans="1:4" x14ac:dyDescent="0.25">
      <c r="A6" s="4" t="s">
        <v>9</v>
      </c>
      <c r="B6" s="4">
        <v>8</v>
      </c>
      <c r="C6" s="27">
        <v>-9.9715099715099704</v>
      </c>
      <c r="D6" s="4">
        <f t="shared" si="0"/>
        <v>-0.79772079772079763</v>
      </c>
    </row>
    <row r="7" spans="1:4" x14ac:dyDescent="0.25">
      <c r="A7" s="4" t="s">
        <v>0</v>
      </c>
      <c r="B7" s="4">
        <v>5.28</v>
      </c>
      <c r="C7" s="27">
        <v>1.0582010582010499</v>
      </c>
      <c r="D7" s="4">
        <f t="shared" si="0"/>
        <v>5.5873015873015436E-2</v>
      </c>
    </row>
    <row r="8" spans="1:4" x14ac:dyDescent="0.25">
      <c r="A8" s="4" t="s">
        <v>29</v>
      </c>
      <c r="B8" s="4">
        <v>5.08</v>
      </c>
      <c r="C8" s="27">
        <v>2.9236276849641998</v>
      </c>
      <c r="D8" s="4">
        <f t="shared" si="0"/>
        <v>0.14852028639618134</v>
      </c>
    </row>
    <row r="9" spans="1:4" x14ac:dyDescent="0.25">
      <c r="A9" s="4" t="s">
        <v>47</v>
      </c>
      <c r="B9" s="4">
        <v>2.82</v>
      </c>
      <c r="C9" s="27">
        <v>-1.47058823529411</v>
      </c>
      <c r="D9" s="4">
        <f t="shared" si="0"/>
        <v>-4.1470588235293898E-2</v>
      </c>
    </row>
    <row r="10" spans="1:4" x14ac:dyDescent="0.25">
      <c r="A10" s="4" t="s">
        <v>6</v>
      </c>
      <c r="B10" s="4">
        <v>2.75</v>
      </c>
      <c r="C10" s="27">
        <v>0.65264684554024599</v>
      </c>
      <c r="D10" s="4">
        <f t="shared" si="0"/>
        <v>1.7947788252356763E-2</v>
      </c>
    </row>
    <row r="11" spans="1:4" x14ac:dyDescent="0.25">
      <c r="A11" s="4" t="s">
        <v>17</v>
      </c>
      <c r="B11" s="4">
        <v>1.89</v>
      </c>
      <c r="C11" s="27">
        <v>0.23419203747072601</v>
      </c>
      <c r="D11" s="4">
        <f t="shared" si="0"/>
        <v>4.4262295081967211E-3</v>
      </c>
    </row>
    <row r="12" spans="1:4" x14ac:dyDescent="0.25">
      <c r="A12" s="4" t="s">
        <v>32</v>
      </c>
      <c r="B12" s="4">
        <v>1.1100000000000001</v>
      </c>
      <c r="C12" s="27">
        <v>0.40355125100887801</v>
      </c>
      <c r="D12" s="4">
        <f t="shared" si="0"/>
        <v>4.4794188861985466E-3</v>
      </c>
    </row>
    <row r="13" spans="1:4" x14ac:dyDescent="0.25">
      <c r="A13" s="4" t="s">
        <v>86</v>
      </c>
      <c r="B13" s="4">
        <v>1.07</v>
      </c>
      <c r="C13" s="27">
        <v>8.7768440709617099</v>
      </c>
      <c r="D13" s="4">
        <f t="shared" si="0"/>
        <v>9.3912231559290293E-2</v>
      </c>
    </row>
    <row r="14" spans="1:4" x14ac:dyDescent="0.25">
      <c r="A14" s="4" t="s">
        <v>3</v>
      </c>
      <c r="B14" s="4">
        <v>1.01</v>
      </c>
      <c r="C14" s="27">
        <v>0.65359477124182996</v>
      </c>
      <c r="D14" s="4">
        <f t="shared" si="0"/>
        <v>6.6013071895424822E-3</v>
      </c>
    </row>
    <row r="15" spans="1:4" x14ac:dyDescent="0.25">
      <c r="A15" s="4" t="s">
        <v>7</v>
      </c>
      <c r="B15" s="4">
        <v>0.66</v>
      </c>
      <c r="C15" s="27">
        <v>0.11764705882352899</v>
      </c>
      <c r="D15" s="4">
        <f t="shared" si="0"/>
        <v>7.7647058823529134E-4</v>
      </c>
    </row>
    <row r="16" spans="1:4" x14ac:dyDescent="0.25">
      <c r="A16" s="4" t="s">
        <v>27</v>
      </c>
      <c r="B16" s="4">
        <v>0.53</v>
      </c>
      <c r="C16" s="27">
        <v>-0.23121387283236899</v>
      </c>
      <c r="D16" s="4">
        <f t="shared" si="0"/>
        <v>-1.2254335260115559E-3</v>
      </c>
    </row>
    <row r="17" spans="1:4" x14ac:dyDescent="0.25">
      <c r="A17" s="4" t="s">
        <v>49</v>
      </c>
      <c r="B17" s="4">
        <v>0.38</v>
      </c>
      <c r="C17" s="27">
        <v>-1.8539976825028901</v>
      </c>
      <c r="D17" s="4">
        <f t="shared" si="0"/>
        <v>-7.0451911935109825E-3</v>
      </c>
    </row>
    <row r="18" spans="1:4" x14ac:dyDescent="0.25">
      <c r="A18" s="4" t="s">
        <v>30</v>
      </c>
      <c r="B18" s="4">
        <v>0.13</v>
      </c>
      <c r="C18" s="27">
        <v>-1.68539325842696</v>
      </c>
      <c r="D18" s="4">
        <f t="shared" si="0"/>
        <v>-2.1910112359550481E-3</v>
      </c>
    </row>
    <row r="19" spans="1:4" x14ac:dyDescent="0.25">
      <c r="A19" s="4" t="s">
        <v>4</v>
      </c>
      <c r="B19" s="4">
        <v>0.13</v>
      </c>
      <c r="C19" s="27">
        <v>3.91705069124423</v>
      </c>
      <c r="D19" s="4">
        <f t="shared" si="0"/>
        <v>5.092165898617499E-3</v>
      </c>
    </row>
    <row r="20" spans="1:4" x14ac:dyDescent="0.25">
      <c r="A20" s="4" t="s">
        <v>72</v>
      </c>
      <c r="B20" s="4">
        <v>7.0000000000000007E-2</v>
      </c>
      <c r="C20" s="27">
        <v>0.96463022508038498</v>
      </c>
      <c r="D20" s="4">
        <f t="shared" si="0"/>
        <v>6.7524115755626961E-4</v>
      </c>
    </row>
    <row r="21" spans="1:4" x14ac:dyDescent="0.25">
      <c r="A21" s="4" t="s">
        <v>18</v>
      </c>
      <c r="B21" s="4">
        <v>0.04</v>
      </c>
      <c r="C21" s="27">
        <v>-1.8295218295218201</v>
      </c>
      <c r="D21" s="4">
        <f t="shared" si="0"/>
        <v>-7.3180873180872812E-4</v>
      </c>
    </row>
    <row r="22" spans="1:4" x14ac:dyDescent="0.25">
      <c r="A22" s="4" t="s">
        <v>51</v>
      </c>
      <c r="B22" s="4">
        <v>0.04</v>
      </c>
      <c r="C22" s="27">
        <v>1.3043478260869501</v>
      </c>
      <c r="D22" s="4">
        <f t="shared" si="0"/>
        <v>5.2173913043478007E-4</v>
      </c>
    </row>
    <row r="23" spans="1:4" x14ac:dyDescent="0.25">
      <c r="A23" s="4" t="s">
        <v>35</v>
      </c>
      <c r="B23" s="4">
        <v>9.73</v>
      </c>
      <c r="C23" s="27">
        <v>-0.37</v>
      </c>
      <c r="D23" s="4">
        <f t="shared" si="0"/>
        <v>-3.6001000000000005E-2</v>
      </c>
    </row>
    <row r="24" spans="1:4" x14ac:dyDescent="0.25">
      <c r="A24" s="4" t="s">
        <v>36</v>
      </c>
      <c r="B24" s="4">
        <v>9.19</v>
      </c>
      <c r="C24" s="27">
        <v>-1.5</v>
      </c>
      <c r="D24" s="4">
        <f t="shared" si="0"/>
        <v>-0.13785</v>
      </c>
    </row>
    <row r="25" spans="1:4" x14ac:dyDescent="0.25">
      <c r="A25" s="4" t="s">
        <v>48</v>
      </c>
      <c r="B25" s="4">
        <v>1.66</v>
      </c>
      <c r="C25" s="3">
        <v>0.13</v>
      </c>
      <c r="D25" s="4">
        <f t="shared" si="0"/>
        <v>2.1579999999999998E-3</v>
      </c>
    </row>
    <row r="26" spans="1:4" x14ac:dyDescent="0.25">
      <c r="A26" s="4" t="s">
        <v>88</v>
      </c>
      <c r="B26" s="4">
        <v>0.02</v>
      </c>
      <c r="C26" s="3">
        <v>-0.76</v>
      </c>
      <c r="D26" s="4">
        <f t="shared" si="0"/>
        <v>-1.5200000000000001E-4</v>
      </c>
    </row>
    <row r="27" spans="1:4" x14ac:dyDescent="0.25">
      <c r="A27" s="12" t="s">
        <v>53</v>
      </c>
      <c r="B27" s="5">
        <f>SUM(B2:B26)</f>
        <v>98.649999999999977</v>
      </c>
      <c r="D27" s="6">
        <f>SUM(D2:D26)</f>
        <v>0.20788846105833014</v>
      </c>
    </row>
    <row r="28" spans="1:4" x14ac:dyDescent="0.25">
      <c r="A28" s="4"/>
      <c r="B28" s="4"/>
      <c r="C28" s="8"/>
      <c r="D28" s="4"/>
    </row>
    <row r="29" spans="1:4" x14ac:dyDescent="0.25">
      <c r="A29" s="4"/>
      <c r="B29" s="4"/>
      <c r="C29" s="8"/>
      <c r="D29" s="4"/>
    </row>
    <row r="30" spans="1:4" x14ac:dyDescent="0.25">
      <c r="A30" s="4"/>
      <c r="B30" s="4"/>
      <c r="C30" s="8"/>
      <c r="D30" s="4"/>
    </row>
    <row r="31" spans="1:4" x14ac:dyDescent="0.25">
      <c r="A31" s="4"/>
      <c r="B31" s="4"/>
      <c r="C31" s="8"/>
      <c r="D31" s="4"/>
    </row>
    <row r="32" spans="1:4" x14ac:dyDescent="0.25">
      <c r="A32" s="4"/>
      <c r="B32" s="4"/>
      <c r="C32" s="8"/>
      <c r="D32" s="4"/>
    </row>
    <row r="33" spans="1:5" x14ac:dyDescent="0.25">
      <c r="A33" s="4"/>
      <c r="B33" s="11"/>
      <c r="C33" s="15"/>
      <c r="D33" s="4"/>
    </row>
    <row r="34" spans="1:5" x14ac:dyDescent="0.25">
      <c r="A34" s="4"/>
      <c r="B34" s="4"/>
      <c r="C34" s="8"/>
      <c r="D34" s="4"/>
    </row>
    <row r="35" spans="1:5" x14ac:dyDescent="0.25">
      <c r="A35" s="4"/>
      <c r="B35" s="4"/>
      <c r="C35" s="8"/>
      <c r="D35" s="4"/>
    </row>
    <row r="36" spans="1:5" x14ac:dyDescent="0.25">
      <c r="A36" s="4"/>
      <c r="B36" s="4"/>
      <c r="C36" s="8"/>
      <c r="D36" s="4"/>
    </row>
    <row r="37" spans="1:5" x14ac:dyDescent="0.25">
      <c r="A37" s="4"/>
      <c r="B37" s="4"/>
      <c r="C37" s="8"/>
      <c r="D37" s="4"/>
    </row>
    <row r="38" spans="1:5" x14ac:dyDescent="0.25">
      <c r="A38" s="4"/>
      <c r="B38" s="4"/>
      <c r="C38" s="8"/>
      <c r="D38" s="4"/>
    </row>
    <row r="39" spans="1:5" x14ac:dyDescent="0.25">
      <c r="A39" s="4"/>
      <c r="B39" s="4"/>
      <c r="C39" s="8"/>
      <c r="D39" s="4"/>
    </row>
    <row r="40" spans="1:5" x14ac:dyDescent="0.25">
      <c r="A40" s="4"/>
      <c r="B40" s="4"/>
      <c r="C40" s="8"/>
      <c r="D40" s="4"/>
    </row>
    <row r="41" spans="1:5" x14ac:dyDescent="0.25">
      <c r="A41" s="4"/>
      <c r="B41" s="4"/>
      <c r="C41" s="4"/>
      <c r="D41" s="4"/>
    </row>
    <row r="42" spans="1:5" x14ac:dyDescent="0.25">
      <c r="A42" s="4"/>
      <c r="B42" s="4"/>
      <c r="C42" s="4"/>
      <c r="D42" s="4"/>
    </row>
    <row r="43" spans="1:5" x14ac:dyDescent="0.25">
      <c r="A43" s="4"/>
      <c r="B43" s="4"/>
      <c r="C43" s="4"/>
      <c r="D43" s="4"/>
    </row>
    <row r="44" spans="1:5" x14ac:dyDescent="0.25">
      <c r="A44" s="12"/>
      <c r="B44" s="5"/>
      <c r="D44" s="6"/>
    </row>
    <row r="47" spans="1:5" x14ac:dyDescent="0.25">
      <c r="C47" s="5"/>
    </row>
    <row r="48" spans="1:5" x14ac:dyDescent="0.25">
      <c r="C48" s="4"/>
      <c r="D48" s="4"/>
      <c r="E48" s="4"/>
    </row>
    <row r="49" spans="1:6" x14ac:dyDescent="0.25">
      <c r="A49" s="31"/>
      <c r="B49" s="31"/>
      <c r="C49" s="4"/>
      <c r="D49" s="4"/>
      <c r="E49" s="17"/>
    </row>
    <row r="50" spans="1:6" x14ac:dyDescent="0.25">
      <c r="A50" s="31"/>
      <c r="B50" s="31"/>
      <c r="C50" s="9"/>
      <c r="D50" s="9"/>
    </row>
    <row r="55" spans="1:6" x14ac:dyDescent="0.25">
      <c r="A55" s="5"/>
      <c r="B55" s="32"/>
      <c r="C55" s="32"/>
      <c r="D55" s="20"/>
      <c r="E55" s="5"/>
      <c r="F55" s="5"/>
    </row>
    <row r="56" spans="1:6" x14ac:dyDescent="0.25">
      <c r="A56" s="18"/>
      <c r="B56" s="31"/>
      <c r="C56" s="31"/>
      <c r="D56" s="21"/>
      <c r="E56" s="21"/>
      <c r="F56" s="24"/>
    </row>
    <row r="57" spans="1:6" x14ac:dyDescent="0.25">
      <c r="A57" s="18"/>
      <c r="B57" s="31"/>
      <c r="C57" s="31"/>
      <c r="D57" s="21"/>
      <c r="E57" s="21"/>
      <c r="F57" s="24"/>
    </row>
    <row r="58" spans="1:6" x14ac:dyDescent="0.25">
      <c r="A58" s="18"/>
      <c r="B58" s="31"/>
      <c r="C58" s="31"/>
      <c r="D58" s="21"/>
      <c r="E58" s="21"/>
      <c r="F58" s="24"/>
    </row>
    <row r="59" spans="1:6" x14ac:dyDescent="0.25">
      <c r="A59" s="18"/>
      <c r="B59" s="31"/>
      <c r="C59" s="31"/>
      <c r="D59" s="21"/>
      <c r="E59" s="21"/>
      <c r="F59" s="24"/>
    </row>
    <row r="60" spans="1:6" x14ac:dyDescent="0.25">
      <c r="A60" s="18"/>
      <c r="B60" s="31"/>
      <c r="C60" s="31"/>
      <c r="D60" s="21"/>
      <c r="E60" s="21"/>
      <c r="F60" s="24"/>
    </row>
    <row r="61" spans="1:6" x14ac:dyDescent="0.25">
      <c r="A61" s="18"/>
      <c r="B61" s="31"/>
      <c r="C61" s="31"/>
      <c r="D61" s="21"/>
      <c r="E61" s="21"/>
      <c r="F61" s="24"/>
    </row>
    <row r="62" spans="1:6" x14ac:dyDescent="0.25">
      <c r="A62" s="18"/>
      <c r="B62" s="31"/>
      <c r="C62" s="31"/>
      <c r="D62" s="21"/>
      <c r="E62" s="21"/>
      <c r="F62" s="24"/>
    </row>
    <row r="63" spans="1:6" x14ac:dyDescent="0.25">
      <c r="A63" s="18"/>
      <c r="B63" s="31"/>
      <c r="C63" s="31"/>
      <c r="D63" s="21"/>
      <c r="E63" s="21"/>
      <c r="F63" s="24"/>
    </row>
    <row r="64" spans="1:6" x14ac:dyDescent="0.25">
      <c r="A64" s="18"/>
      <c r="B64" s="31"/>
      <c r="C64" s="31"/>
      <c r="D64" s="21"/>
      <c r="E64" s="21"/>
      <c r="F64" s="24"/>
    </row>
    <row r="65" spans="1:6" x14ac:dyDescent="0.25">
      <c r="A65" s="18"/>
      <c r="B65" s="31"/>
      <c r="C65" s="31"/>
      <c r="D65" s="21"/>
      <c r="E65" s="21"/>
      <c r="F65" s="24"/>
    </row>
    <row r="66" spans="1:6" x14ac:dyDescent="0.25">
      <c r="A66" s="18"/>
      <c r="B66" s="31"/>
      <c r="C66" s="31"/>
      <c r="D66" s="21"/>
      <c r="E66" s="21"/>
      <c r="F66" s="24"/>
    </row>
    <row r="67" spans="1:6" x14ac:dyDescent="0.25">
      <c r="A67" s="18"/>
      <c r="B67" s="31"/>
      <c r="C67" s="31"/>
      <c r="D67" s="21"/>
      <c r="E67" s="21"/>
      <c r="F67" s="24"/>
    </row>
    <row r="68" spans="1:6" x14ac:dyDescent="0.25">
      <c r="A68" s="18"/>
      <c r="B68" s="31"/>
      <c r="C68" s="31"/>
      <c r="D68" s="21"/>
      <c r="E68" s="21"/>
      <c r="F68" s="24"/>
    </row>
    <row r="69" spans="1:6" x14ac:dyDescent="0.25">
      <c r="A69" s="18"/>
      <c r="B69" s="31"/>
      <c r="C69" s="31"/>
      <c r="D69" s="19"/>
      <c r="E69" s="22"/>
      <c r="F69" s="24"/>
    </row>
    <row r="70" spans="1:6" x14ac:dyDescent="0.25">
      <c r="A70" s="18"/>
      <c r="B70" s="31"/>
      <c r="C70" s="31"/>
      <c r="D70" s="19"/>
      <c r="E70" s="22"/>
      <c r="F70" s="24"/>
    </row>
    <row r="71" spans="1:6" x14ac:dyDescent="0.25">
      <c r="A71" s="18"/>
      <c r="B71" s="31"/>
      <c r="C71" s="31"/>
      <c r="D71" s="19"/>
      <c r="E71" s="22"/>
      <c r="F71" s="24"/>
    </row>
    <row r="72" spans="1:6" x14ac:dyDescent="0.25">
      <c r="A72" s="18"/>
      <c r="B72" s="31"/>
      <c r="C72" s="31"/>
      <c r="D72" s="19"/>
      <c r="E72" s="22"/>
      <c r="F72" s="24"/>
    </row>
    <row r="73" spans="1:6" x14ac:dyDescent="0.25">
      <c r="A73" s="18"/>
      <c r="B73" s="31"/>
      <c r="C73" s="31"/>
      <c r="D73" s="19"/>
      <c r="E73" s="22"/>
      <c r="F73" s="24"/>
    </row>
    <row r="74" spans="1:6" x14ac:dyDescent="0.25">
      <c r="A74" s="18"/>
      <c r="B74" s="31"/>
      <c r="C74" s="31"/>
      <c r="D74" s="19"/>
      <c r="E74" s="22"/>
      <c r="F74" s="24"/>
    </row>
    <row r="75" spans="1:6" x14ac:dyDescent="0.25">
      <c r="A75" s="18"/>
      <c r="B75" s="31"/>
      <c r="C75" s="31"/>
      <c r="D75" s="19"/>
      <c r="E75" s="22"/>
      <c r="F75" s="24"/>
    </row>
    <row r="76" spans="1:6" x14ac:dyDescent="0.25">
      <c r="A76" s="18"/>
      <c r="B76" s="31"/>
      <c r="C76" s="31"/>
      <c r="D76" s="19"/>
      <c r="E76" s="22"/>
      <c r="F76" s="24"/>
    </row>
    <row r="77" spans="1:6" x14ac:dyDescent="0.25">
      <c r="A77" s="18"/>
      <c r="B77" s="31"/>
      <c r="C77" s="31"/>
      <c r="D77" s="19"/>
      <c r="E77" s="22"/>
      <c r="F77" s="24"/>
    </row>
    <row r="78" spans="1:6" x14ac:dyDescent="0.25">
      <c r="A78" s="18"/>
      <c r="B78" s="31"/>
      <c r="C78" s="31"/>
      <c r="D78" s="19"/>
      <c r="E78" s="22"/>
      <c r="F78" s="24"/>
    </row>
    <row r="79" spans="1:6" x14ac:dyDescent="0.25">
      <c r="A79" s="18"/>
      <c r="B79" s="31"/>
      <c r="C79" s="31"/>
      <c r="D79" s="19"/>
      <c r="E79" s="22"/>
      <c r="F79" s="24"/>
    </row>
    <row r="80" spans="1:6" x14ac:dyDescent="0.25">
      <c r="A80" s="18"/>
      <c r="B80" s="31"/>
      <c r="C80" s="31"/>
      <c r="D80" s="19"/>
      <c r="E80" s="22"/>
      <c r="F80" s="24"/>
    </row>
    <row r="81" spans="1:6" x14ac:dyDescent="0.25">
      <c r="A81" s="18"/>
      <c r="B81" s="31"/>
      <c r="C81" s="31"/>
      <c r="D81" s="19"/>
      <c r="E81" s="22"/>
      <c r="F81" s="24"/>
    </row>
  </sheetData>
  <mergeCells count="29">
    <mergeCell ref="B78:C78"/>
    <mergeCell ref="B79:C79"/>
    <mergeCell ref="B80:C80"/>
    <mergeCell ref="B81:C81"/>
    <mergeCell ref="B73:C73"/>
    <mergeCell ref="B74:C74"/>
    <mergeCell ref="B75:C75"/>
    <mergeCell ref="B76:C76"/>
    <mergeCell ref="B77:C77"/>
    <mergeCell ref="B68:C68"/>
    <mergeCell ref="B69:C69"/>
    <mergeCell ref="B70:C70"/>
    <mergeCell ref="B71:C71"/>
    <mergeCell ref="B72:C72"/>
    <mergeCell ref="B63:C63"/>
    <mergeCell ref="B64:C64"/>
    <mergeCell ref="B65:C65"/>
    <mergeCell ref="B66:C66"/>
    <mergeCell ref="B67:C67"/>
    <mergeCell ref="B59:C59"/>
    <mergeCell ref="B60:C60"/>
    <mergeCell ref="B61:C61"/>
    <mergeCell ref="B62:C62"/>
    <mergeCell ref="B58:C58"/>
    <mergeCell ref="B57:C57"/>
    <mergeCell ref="A49:B49"/>
    <mergeCell ref="A50:B50"/>
    <mergeCell ref="B55:C55"/>
    <mergeCell ref="B56:C5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DE70-F8B5-43C2-B046-025D01A118D2}">
  <dimension ref="A1:F154"/>
  <sheetViews>
    <sheetView workbookViewId="0">
      <selection activeCell="C2" sqref="C2:C21"/>
    </sheetView>
  </sheetViews>
  <sheetFormatPr defaultRowHeight="15" x14ac:dyDescent="0.25"/>
  <cols>
    <col min="1" max="1" width="11" customWidth="1"/>
    <col min="2" max="2" width="11.7109375" customWidth="1"/>
    <col min="3" max="3" width="15.7109375" customWidth="1"/>
    <col min="4" max="4" width="21.42578125" customWidth="1"/>
    <col min="5" max="5" width="18.7109375" customWidth="1"/>
  </cols>
  <sheetData>
    <row r="1" spans="1:4" x14ac:dyDescent="0.25">
      <c r="A1" s="2" t="s">
        <v>37</v>
      </c>
      <c r="B1" s="2" t="s">
        <v>46</v>
      </c>
      <c r="C1" s="1" t="s">
        <v>11</v>
      </c>
      <c r="D1" s="1" t="s">
        <v>10</v>
      </c>
    </row>
    <row r="2" spans="1:4" x14ac:dyDescent="0.25">
      <c r="A2" s="4" t="s">
        <v>9</v>
      </c>
      <c r="B2" s="4">
        <v>15.85</v>
      </c>
      <c r="C2" s="3">
        <v>-9.9715099715099704</v>
      </c>
      <c r="D2" s="29">
        <f>B2*C2/100</f>
        <v>-1.5804843304843303</v>
      </c>
    </row>
    <row r="3" spans="1:4" x14ac:dyDescent="0.25">
      <c r="A3" s="4" t="s">
        <v>14</v>
      </c>
      <c r="B3" s="4">
        <v>14.37</v>
      </c>
      <c r="C3" s="3">
        <v>2.1943573667711598</v>
      </c>
      <c r="D3" s="29">
        <f t="shared" ref="D3:D21" si="0">B3*C3/100</f>
        <v>0.31532915360501568</v>
      </c>
    </row>
    <row r="4" spans="1:4" x14ac:dyDescent="0.25">
      <c r="A4" s="4" t="s">
        <v>12</v>
      </c>
      <c r="B4" s="4">
        <v>9.9499999999999993</v>
      </c>
      <c r="C4" s="3">
        <v>-9.9703264094955397</v>
      </c>
      <c r="D4" s="29">
        <f t="shared" si="0"/>
        <v>-0.99204747774480606</v>
      </c>
    </row>
    <row r="5" spans="1:4" x14ac:dyDescent="0.25">
      <c r="A5" s="4" t="s">
        <v>13</v>
      </c>
      <c r="B5" s="4">
        <v>9.31</v>
      </c>
      <c r="C5" s="3">
        <v>5.1625239005736097</v>
      </c>
      <c r="D5" s="29">
        <f t="shared" si="0"/>
        <v>0.48063097514340308</v>
      </c>
    </row>
    <row r="6" spans="1:4" x14ac:dyDescent="0.25">
      <c r="A6" s="4" t="s">
        <v>15</v>
      </c>
      <c r="B6" s="4">
        <v>7.94</v>
      </c>
      <c r="C6" s="3">
        <v>9.0322580645161299</v>
      </c>
      <c r="D6" s="29">
        <f t="shared" si="0"/>
        <v>0.7171612903225808</v>
      </c>
    </row>
    <row r="7" spans="1:4" x14ac:dyDescent="0.25">
      <c r="A7" s="4" t="s">
        <v>0</v>
      </c>
      <c r="B7" s="4">
        <v>3.39</v>
      </c>
      <c r="C7" s="3">
        <v>1.0582010582010499</v>
      </c>
      <c r="D7" s="29">
        <f t="shared" si="0"/>
        <v>3.5873015873015592E-2</v>
      </c>
    </row>
    <row r="8" spans="1:4" x14ac:dyDescent="0.25">
      <c r="A8" s="4" t="s">
        <v>47</v>
      </c>
      <c r="B8" s="4">
        <v>5.47</v>
      </c>
      <c r="C8" s="3">
        <v>-1.47058823529411</v>
      </c>
      <c r="D8" s="29">
        <f t="shared" si="0"/>
        <v>-8.0441176470587822E-2</v>
      </c>
    </row>
    <row r="9" spans="1:4" x14ac:dyDescent="0.25">
      <c r="A9" s="4" t="s">
        <v>6</v>
      </c>
      <c r="B9" s="4">
        <v>5.29</v>
      </c>
      <c r="C9" s="3">
        <v>0.65264684554024599</v>
      </c>
      <c r="D9" s="29">
        <f t="shared" si="0"/>
        <v>3.4525018129079016E-2</v>
      </c>
    </row>
    <row r="10" spans="1:4" x14ac:dyDescent="0.25">
      <c r="A10" s="4" t="s">
        <v>29</v>
      </c>
      <c r="B10" s="4">
        <v>3.04</v>
      </c>
      <c r="C10" s="3">
        <v>2.9236276849641998</v>
      </c>
      <c r="D10" s="29">
        <f t="shared" si="0"/>
        <v>8.8878281622911684E-2</v>
      </c>
    </row>
    <row r="11" spans="1:4" x14ac:dyDescent="0.25">
      <c r="A11" s="4" t="s">
        <v>86</v>
      </c>
      <c r="B11" s="4">
        <v>2.08</v>
      </c>
      <c r="C11" s="3">
        <v>8.7768440709617099</v>
      </c>
      <c r="D11" s="29">
        <f t="shared" si="0"/>
        <v>0.18255835667600359</v>
      </c>
    </row>
    <row r="12" spans="1:4" x14ac:dyDescent="0.25">
      <c r="A12" s="4" t="s">
        <v>32</v>
      </c>
      <c r="B12" s="4">
        <v>1.81</v>
      </c>
      <c r="C12" s="3">
        <v>0.40355125100887801</v>
      </c>
      <c r="D12" s="29">
        <f t="shared" si="0"/>
        <v>7.3042776432606926E-3</v>
      </c>
    </row>
    <row r="13" spans="1:4" x14ac:dyDescent="0.25">
      <c r="A13" s="4" t="s">
        <v>17</v>
      </c>
      <c r="B13" s="4">
        <v>1.39</v>
      </c>
      <c r="C13" s="3">
        <v>0.23419203747072601</v>
      </c>
      <c r="D13" s="29">
        <f t="shared" si="0"/>
        <v>3.2552693208430911E-3</v>
      </c>
    </row>
    <row r="14" spans="1:4" x14ac:dyDescent="0.25">
      <c r="A14" s="4" t="s">
        <v>27</v>
      </c>
      <c r="B14" s="4">
        <v>0.56999999999999995</v>
      </c>
      <c r="C14" s="3">
        <v>-0.23121387283236899</v>
      </c>
      <c r="D14" s="29">
        <f t="shared" si="0"/>
        <v>-1.3179190751445031E-3</v>
      </c>
    </row>
    <row r="15" spans="1:4" x14ac:dyDescent="0.25">
      <c r="A15" s="4" t="s">
        <v>33</v>
      </c>
      <c r="B15" s="4">
        <v>0.14000000000000001</v>
      </c>
      <c r="C15" s="3">
        <v>-0.99502487562189001</v>
      </c>
      <c r="D15" s="29">
        <f t="shared" si="0"/>
        <v>-1.3930348258706462E-3</v>
      </c>
    </row>
    <row r="16" spans="1:4" x14ac:dyDescent="0.25">
      <c r="A16" s="4" t="s">
        <v>84</v>
      </c>
      <c r="B16" s="4">
        <v>0.11</v>
      </c>
      <c r="C16" s="3">
        <v>-1.50425114453891</v>
      </c>
      <c r="D16" s="29">
        <f t="shared" si="0"/>
        <v>-1.6546762589928011E-3</v>
      </c>
    </row>
    <row r="17" spans="1:4" x14ac:dyDescent="0.25">
      <c r="A17" s="4" t="s">
        <v>36</v>
      </c>
      <c r="B17" s="4">
        <v>8.98</v>
      </c>
      <c r="C17" s="3">
        <v>-1.5</v>
      </c>
      <c r="D17" s="29">
        <f t="shared" si="0"/>
        <v>-0.13470000000000001</v>
      </c>
    </row>
    <row r="18" spans="1:4" x14ac:dyDescent="0.25">
      <c r="A18" s="4" t="s">
        <v>35</v>
      </c>
      <c r="B18" s="4">
        <v>8.66</v>
      </c>
      <c r="C18" s="3">
        <v>-0.37</v>
      </c>
      <c r="D18" s="29">
        <f t="shared" si="0"/>
        <v>-3.2042000000000001E-2</v>
      </c>
    </row>
    <row r="19" spans="1:4" x14ac:dyDescent="0.25">
      <c r="A19" s="4" t="s">
        <v>89</v>
      </c>
      <c r="B19" s="4">
        <v>0.69</v>
      </c>
      <c r="C19" s="3">
        <v>5.76</v>
      </c>
      <c r="D19" s="29">
        <f t="shared" si="0"/>
        <v>3.9743999999999995E-2</v>
      </c>
    </row>
    <row r="20" spans="1:4" x14ac:dyDescent="0.25">
      <c r="A20" s="4" t="s">
        <v>54</v>
      </c>
      <c r="B20" s="4">
        <v>0.09</v>
      </c>
      <c r="C20" s="3">
        <v>-0.49</v>
      </c>
      <c r="D20" s="29">
        <f t="shared" si="0"/>
        <v>-4.4099999999999999E-4</v>
      </c>
    </row>
    <row r="21" spans="1:4" x14ac:dyDescent="0.25">
      <c r="A21" s="4" t="s">
        <v>48</v>
      </c>
      <c r="B21" s="4">
        <v>0.01</v>
      </c>
      <c r="C21" s="3">
        <v>0.13</v>
      </c>
      <c r="D21" s="29">
        <f t="shared" si="0"/>
        <v>1.3000000000000001E-5</v>
      </c>
    </row>
    <row r="22" spans="1:4" x14ac:dyDescent="0.25">
      <c r="A22" s="12" t="s">
        <v>53</v>
      </c>
      <c r="B22" s="5">
        <f>SUM(B2:B21)</f>
        <v>99.140000000000015</v>
      </c>
      <c r="D22" s="6">
        <f>SUM(D2:D21)</f>
        <v>-0.91924897652361903</v>
      </c>
    </row>
    <row r="23" spans="1:4" x14ac:dyDescent="0.25">
      <c r="A23" s="4"/>
      <c r="B23" s="4"/>
      <c r="C23" s="8"/>
      <c r="D23" s="4"/>
    </row>
    <row r="24" spans="1:4" x14ac:dyDescent="0.25">
      <c r="A24" s="4"/>
      <c r="B24" s="4"/>
      <c r="C24" s="8"/>
      <c r="D24" s="4"/>
    </row>
    <row r="25" spans="1:4" x14ac:dyDescent="0.25">
      <c r="A25" s="4"/>
      <c r="B25" s="4"/>
      <c r="C25" s="8"/>
      <c r="D25" s="4"/>
    </row>
    <row r="26" spans="1:4" x14ac:dyDescent="0.25">
      <c r="A26" s="4"/>
      <c r="B26" s="4"/>
      <c r="C26" s="8"/>
      <c r="D26" s="4"/>
    </row>
    <row r="27" spans="1:4" x14ac:dyDescent="0.25">
      <c r="A27" s="4"/>
      <c r="B27" s="4"/>
      <c r="C27" s="8"/>
      <c r="D27" s="4"/>
    </row>
    <row r="28" spans="1:4" x14ac:dyDescent="0.25">
      <c r="A28" s="4"/>
      <c r="B28" s="4"/>
      <c r="C28" s="8"/>
      <c r="D28" s="4"/>
    </row>
    <row r="29" spans="1:4" x14ac:dyDescent="0.25">
      <c r="A29" s="4"/>
      <c r="B29" s="13"/>
      <c r="C29" s="15"/>
      <c r="D29" s="4"/>
    </row>
    <row r="30" spans="1:4" x14ac:dyDescent="0.25">
      <c r="A30" s="4"/>
      <c r="B30" s="4"/>
      <c r="C30" s="8"/>
      <c r="D30" s="4"/>
    </row>
    <row r="31" spans="1:4" x14ac:dyDescent="0.25">
      <c r="A31" s="4"/>
      <c r="B31" s="4"/>
      <c r="C31" s="4"/>
      <c r="D31" s="4"/>
    </row>
    <row r="32" spans="1:4" x14ac:dyDescent="0.25">
      <c r="A32" s="4"/>
      <c r="B32" s="4"/>
      <c r="C32" s="4"/>
      <c r="D32" s="4"/>
    </row>
    <row r="33" spans="1:5" x14ac:dyDescent="0.25">
      <c r="A33" s="4"/>
      <c r="B33" s="4"/>
      <c r="C33" s="4"/>
      <c r="D33" s="4"/>
    </row>
    <row r="34" spans="1:5" x14ac:dyDescent="0.25">
      <c r="A34" s="4"/>
      <c r="B34" s="4"/>
      <c r="C34" s="4"/>
      <c r="D34" s="4"/>
    </row>
    <row r="35" spans="1:5" x14ac:dyDescent="0.25">
      <c r="A35" s="4"/>
      <c r="B35" s="4"/>
      <c r="C35" s="4"/>
      <c r="D35" s="4"/>
    </row>
    <row r="36" spans="1:5" x14ac:dyDescent="0.25">
      <c r="A36" s="4"/>
      <c r="B36" s="4"/>
      <c r="C36" s="4"/>
      <c r="D36" s="4"/>
    </row>
    <row r="37" spans="1:5" x14ac:dyDescent="0.25">
      <c r="A37" s="12"/>
      <c r="B37" s="5"/>
      <c r="D37" s="6"/>
    </row>
    <row r="42" spans="1:5" x14ac:dyDescent="0.25">
      <c r="C42" s="5"/>
    </row>
    <row r="43" spans="1:5" x14ac:dyDescent="0.25">
      <c r="C43" s="4"/>
      <c r="D43" s="4"/>
      <c r="E43" s="4"/>
    </row>
    <row r="44" spans="1:5" x14ac:dyDescent="0.25">
      <c r="A44" s="31"/>
      <c r="B44" s="31"/>
      <c r="C44" s="4"/>
      <c r="D44" s="4"/>
      <c r="E44" s="17"/>
    </row>
    <row r="45" spans="1:5" x14ac:dyDescent="0.25">
      <c r="A45" s="31"/>
      <c r="B45" s="31"/>
      <c r="C45" s="9"/>
      <c r="D45" s="9"/>
    </row>
    <row r="53" spans="1:6" x14ac:dyDescent="0.25">
      <c r="A53" s="5"/>
      <c r="B53" s="32"/>
      <c r="C53" s="32"/>
      <c r="D53" s="20"/>
      <c r="E53" s="5"/>
      <c r="F53" s="5"/>
    </row>
    <row r="54" spans="1:6" x14ac:dyDescent="0.25">
      <c r="A54" s="18"/>
      <c r="B54" s="31"/>
      <c r="C54" s="31"/>
      <c r="D54" s="21"/>
      <c r="E54" s="22"/>
      <c r="F54" s="24"/>
    </row>
    <row r="55" spans="1:6" x14ac:dyDescent="0.25">
      <c r="A55" s="18"/>
      <c r="B55" s="31"/>
      <c r="C55" s="31"/>
      <c r="D55" s="21"/>
      <c r="E55" s="22"/>
      <c r="F55" s="24"/>
    </row>
    <row r="56" spans="1:6" x14ac:dyDescent="0.25">
      <c r="A56" s="18"/>
      <c r="B56" s="31"/>
      <c r="C56" s="31"/>
      <c r="D56" s="21"/>
      <c r="E56" s="22"/>
      <c r="F56" s="24"/>
    </row>
    <row r="57" spans="1:6" x14ac:dyDescent="0.25">
      <c r="A57" s="18"/>
      <c r="B57" s="31"/>
      <c r="C57" s="31"/>
      <c r="D57" s="21"/>
      <c r="E57" s="22"/>
      <c r="F57" s="24"/>
    </row>
    <row r="58" spans="1:6" x14ac:dyDescent="0.25">
      <c r="A58" s="23"/>
      <c r="B58" s="31"/>
      <c r="C58" s="31"/>
      <c r="D58" s="21"/>
      <c r="E58" s="21"/>
      <c r="F58" s="24"/>
    </row>
    <row r="59" spans="1:6" x14ac:dyDescent="0.25">
      <c r="A59" s="18"/>
      <c r="B59" s="31"/>
      <c r="C59" s="31"/>
      <c r="D59" s="21"/>
      <c r="E59" s="21"/>
      <c r="F59" s="24"/>
    </row>
    <row r="60" spans="1:6" x14ac:dyDescent="0.25">
      <c r="A60" s="18"/>
      <c r="B60" s="31"/>
      <c r="C60" s="31"/>
      <c r="D60" s="21"/>
      <c r="E60" s="21"/>
      <c r="F60" s="24"/>
    </row>
    <row r="61" spans="1:6" x14ac:dyDescent="0.25">
      <c r="A61" s="18"/>
      <c r="B61" s="31"/>
      <c r="C61" s="31"/>
      <c r="D61" s="21"/>
      <c r="E61" s="21"/>
      <c r="F61" s="24"/>
    </row>
    <row r="62" spans="1:6" x14ac:dyDescent="0.25">
      <c r="A62" s="18"/>
      <c r="B62" s="31"/>
      <c r="C62" s="31"/>
      <c r="D62" s="21"/>
      <c r="E62" s="21"/>
      <c r="F62" s="24"/>
    </row>
    <row r="63" spans="1:6" x14ac:dyDescent="0.25">
      <c r="A63" s="18"/>
      <c r="B63" s="31"/>
      <c r="C63" s="31"/>
      <c r="D63" s="21"/>
      <c r="E63" s="21"/>
      <c r="F63" s="24"/>
    </row>
    <row r="64" spans="1:6" x14ac:dyDescent="0.25">
      <c r="A64" s="18"/>
      <c r="B64" s="31"/>
      <c r="C64" s="31"/>
      <c r="D64" s="21"/>
      <c r="E64" s="21"/>
      <c r="F64" s="24"/>
    </row>
    <row r="65" spans="1:6" x14ac:dyDescent="0.25">
      <c r="A65" s="18"/>
      <c r="B65" s="31"/>
      <c r="C65" s="31"/>
      <c r="D65" s="21"/>
      <c r="E65" s="21"/>
      <c r="F65" s="24"/>
    </row>
    <row r="66" spans="1:6" x14ac:dyDescent="0.25">
      <c r="A66" s="18"/>
      <c r="B66" s="31"/>
      <c r="C66" s="31"/>
      <c r="D66" s="21"/>
      <c r="E66" s="21"/>
      <c r="F66" s="24"/>
    </row>
    <row r="67" spans="1:6" x14ac:dyDescent="0.25">
      <c r="A67" s="18"/>
      <c r="B67" s="31"/>
      <c r="C67" s="31"/>
      <c r="D67" s="21"/>
      <c r="E67" s="22"/>
      <c r="F67" s="24"/>
    </row>
    <row r="68" spans="1:6" x14ac:dyDescent="0.25">
      <c r="A68" s="18"/>
      <c r="B68" s="31"/>
      <c r="C68" s="31"/>
      <c r="D68" s="21"/>
      <c r="E68" s="22"/>
      <c r="F68" s="24"/>
    </row>
    <row r="69" spans="1:6" x14ac:dyDescent="0.25">
      <c r="A69" s="18"/>
      <c r="B69" s="31"/>
      <c r="C69" s="31"/>
      <c r="D69" s="21"/>
      <c r="E69" s="22"/>
      <c r="F69" s="24"/>
    </row>
    <row r="70" spans="1:6" x14ac:dyDescent="0.25">
      <c r="A70" s="18"/>
      <c r="B70" s="31"/>
      <c r="C70" s="31"/>
      <c r="D70" s="21"/>
      <c r="E70" s="22"/>
      <c r="F70" s="24"/>
    </row>
    <row r="71" spans="1:6" x14ac:dyDescent="0.25">
      <c r="A71" s="18"/>
      <c r="B71" s="31"/>
      <c r="C71" s="31"/>
      <c r="D71" s="21"/>
      <c r="E71" s="22"/>
      <c r="F71" s="24"/>
    </row>
    <row r="72" spans="1:6" x14ac:dyDescent="0.25">
      <c r="A72" s="18"/>
      <c r="B72" s="31"/>
      <c r="C72" s="31"/>
      <c r="D72" s="21"/>
      <c r="E72" s="22"/>
      <c r="F72" s="24"/>
    </row>
    <row r="73" spans="1:6" x14ac:dyDescent="0.25">
      <c r="A73" s="18"/>
      <c r="B73" s="31"/>
      <c r="C73" s="31"/>
      <c r="D73" s="21"/>
      <c r="E73" s="22"/>
      <c r="F73" s="24"/>
    </row>
    <row r="74" spans="1:6" x14ac:dyDescent="0.25">
      <c r="A74" s="18"/>
      <c r="B74" s="31"/>
      <c r="C74" s="31"/>
      <c r="D74" s="21"/>
      <c r="E74" s="22"/>
      <c r="F74" s="24"/>
    </row>
    <row r="75" spans="1:6" x14ac:dyDescent="0.25">
      <c r="A75" s="18"/>
      <c r="B75" s="31"/>
      <c r="C75" s="31"/>
      <c r="D75" s="21"/>
      <c r="E75" s="22"/>
      <c r="F75" s="24"/>
    </row>
    <row r="76" spans="1:6" x14ac:dyDescent="0.25">
      <c r="A76" s="18"/>
      <c r="B76" s="31"/>
      <c r="C76" s="31"/>
      <c r="D76" s="21"/>
      <c r="E76" s="22"/>
      <c r="F76" s="24"/>
    </row>
    <row r="77" spans="1:6" x14ac:dyDescent="0.25">
      <c r="A77" s="18"/>
      <c r="B77" s="31"/>
      <c r="C77" s="31"/>
      <c r="D77" s="21"/>
      <c r="E77" s="22"/>
      <c r="F77" s="24"/>
    </row>
    <row r="78" spans="1:6" x14ac:dyDescent="0.25">
      <c r="A78" s="18"/>
      <c r="B78" s="31"/>
      <c r="C78" s="31"/>
      <c r="D78" s="21"/>
      <c r="E78" s="22"/>
      <c r="F78" s="24"/>
    </row>
    <row r="79" spans="1:6" x14ac:dyDescent="0.25">
      <c r="A79" s="18"/>
      <c r="B79" s="31"/>
      <c r="C79" s="31"/>
      <c r="D79" s="21"/>
      <c r="E79" s="22"/>
      <c r="F79" s="24"/>
    </row>
    <row r="80" spans="1:6" x14ac:dyDescent="0.25">
      <c r="A80" s="18"/>
      <c r="B80" s="31"/>
      <c r="C80" s="31"/>
      <c r="D80" s="21"/>
      <c r="E80" s="22"/>
      <c r="F80" s="24"/>
    </row>
    <row r="81" spans="1:6" x14ac:dyDescent="0.25">
      <c r="A81" s="18"/>
      <c r="B81" s="31"/>
      <c r="C81" s="31"/>
      <c r="D81" s="21"/>
      <c r="E81" s="22"/>
      <c r="F81" s="24"/>
    </row>
    <row r="82" spans="1:6" x14ac:dyDescent="0.25">
      <c r="A82" s="18"/>
      <c r="B82" s="31"/>
      <c r="C82" s="31"/>
      <c r="D82" s="21"/>
      <c r="E82" s="22"/>
      <c r="F82" s="24"/>
    </row>
    <row r="83" spans="1:6" x14ac:dyDescent="0.25">
      <c r="A83" s="18"/>
      <c r="B83" s="31"/>
      <c r="C83" s="31"/>
      <c r="D83" s="21"/>
      <c r="E83" s="22"/>
      <c r="F83" s="24"/>
    </row>
    <row r="84" spans="1:6" x14ac:dyDescent="0.25">
      <c r="A84" s="18"/>
      <c r="B84" s="31"/>
      <c r="C84" s="31"/>
      <c r="D84" s="21"/>
      <c r="E84" s="22"/>
      <c r="F84" s="24"/>
    </row>
    <row r="85" spans="1:6" x14ac:dyDescent="0.25">
      <c r="A85" s="18"/>
      <c r="B85" s="31"/>
      <c r="C85" s="31"/>
      <c r="D85" s="21"/>
      <c r="E85" s="22"/>
      <c r="F85" s="24"/>
    </row>
    <row r="86" spans="1:6" x14ac:dyDescent="0.25">
      <c r="A86" s="18"/>
      <c r="B86" s="31"/>
      <c r="C86" s="31"/>
      <c r="D86" s="21"/>
      <c r="E86" s="22"/>
      <c r="F86" s="24"/>
    </row>
    <row r="87" spans="1:6" x14ac:dyDescent="0.25">
      <c r="A87" s="18"/>
      <c r="B87" s="31"/>
      <c r="C87" s="31"/>
      <c r="D87" s="21"/>
      <c r="E87" s="22"/>
      <c r="F87" s="24"/>
    </row>
    <row r="88" spans="1:6" x14ac:dyDescent="0.25">
      <c r="A88" s="18"/>
      <c r="B88" s="31"/>
      <c r="C88" s="31"/>
      <c r="D88" s="21"/>
      <c r="E88" s="22"/>
      <c r="F88" s="24"/>
    </row>
    <row r="89" spans="1:6" x14ac:dyDescent="0.25">
      <c r="A89" s="18"/>
      <c r="B89" s="31"/>
      <c r="C89" s="31"/>
      <c r="D89" s="21"/>
      <c r="E89" s="22"/>
      <c r="F89" s="24"/>
    </row>
    <row r="90" spans="1:6" x14ac:dyDescent="0.25">
      <c r="A90" s="18"/>
      <c r="B90" s="31"/>
      <c r="C90" s="31"/>
      <c r="D90" s="21"/>
      <c r="E90" s="22"/>
      <c r="F90" s="24"/>
    </row>
    <row r="91" spans="1:6" x14ac:dyDescent="0.25">
      <c r="A91" s="18"/>
      <c r="B91" s="31"/>
      <c r="C91" s="31"/>
      <c r="D91" s="21"/>
      <c r="E91" s="22"/>
      <c r="F91" s="24"/>
    </row>
    <row r="92" spans="1:6" x14ac:dyDescent="0.25">
      <c r="A92" s="18"/>
      <c r="B92" s="31"/>
      <c r="C92" s="31"/>
      <c r="D92" s="21"/>
      <c r="E92" s="22"/>
      <c r="F92" s="24"/>
    </row>
    <row r="93" spans="1:6" x14ac:dyDescent="0.25">
      <c r="A93" s="18"/>
      <c r="B93" s="31"/>
      <c r="C93" s="31"/>
      <c r="D93" s="21"/>
      <c r="E93" s="22"/>
      <c r="F93" s="24"/>
    </row>
    <row r="94" spans="1:6" x14ac:dyDescent="0.25">
      <c r="A94" s="18"/>
      <c r="B94" s="31"/>
      <c r="C94" s="31"/>
      <c r="D94" s="21"/>
      <c r="E94" s="22"/>
      <c r="F94" s="24"/>
    </row>
    <row r="95" spans="1:6" x14ac:dyDescent="0.25">
      <c r="A95" s="18"/>
      <c r="B95" s="31"/>
      <c r="C95" s="31"/>
      <c r="D95" s="21"/>
      <c r="E95" s="22"/>
      <c r="F95" s="24"/>
    </row>
    <row r="96" spans="1:6" x14ac:dyDescent="0.25">
      <c r="A96" s="18"/>
      <c r="B96" s="31"/>
      <c r="C96" s="31"/>
      <c r="D96" s="21"/>
      <c r="E96" s="22"/>
      <c r="F96" s="24"/>
    </row>
    <row r="97" spans="1:6" x14ac:dyDescent="0.25">
      <c r="A97" s="18"/>
      <c r="B97" s="31"/>
      <c r="C97" s="31"/>
      <c r="D97" s="21"/>
      <c r="E97" s="22"/>
      <c r="F97" s="24"/>
    </row>
    <row r="98" spans="1:6" x14ac:dyDescent="0.25">
      <c r="A98" s="18"/>
      <c r="B98" s="31"/>
      <c r="C98" s="31"/>
      <c r="D98" s="21"/>
      <c r="E98" s="22"/>
      <c r="F98" s="24"/>
    </row>
    <row r="99" spans="1:6" x14ac:dyDescent="0.25">
      <c r="A99" s="18"/>
      <c r="B99" s="31"/>
      <c r="C99" s="31"/>
      <c r="D99" s="21"/>
      <c r="E99" s="22"/>
      <c r="F99" s="24"/>
    </row>
    <row r="100" spans="1:6" x14ac:dyDescent="0.25">
      <c r="A100" s="18"/>
      <c r="B100" s="31"/>
      <c r="C100" s="31"/>
      <c r="D100" s="21"/>
      <c r="E100" s="22"/>
      <c r="F100" s="24"/>
    </row>
    <row r="101" spans="1:6" x14ac:dyDescent="0.25">
      <c r="A101" s="18"/>
      <c r="B101" s="31"/>
      <c r="C101" s="31"/>
      <c r="D101" s="21"/>
      <c r="E101" s="22"/>
      <c r="F101" s="24"/>
    </row>
    <row r="102" spans="1:6" x14ac:dyDescent="0.25">
      <c r="A102" s="18"/>
      <c r="B102" s="31"/>
      <c r="C102" s="31"/>
      <c r="D102" s="21"/>
      <c r="E102" s="22"/>
      <c r="F102" s="24"/>
    </row>
    <row r="103" spans="1:6" x14ac:dyDescent="0.25">
      <c r="A103" s="18"/>
      <c r="B103" s="31"/>
      <c r="C103" s="31"/>
      <c r="D103" s="21"/>
      <c r="E103" s="22"/>
      <c r="F103" s="24"/>
    </row>
    <row r="104" spans="1:6" x14ac:dyDescent="0.25">
      <c r="A104" s="18"/>
      <c r="B104" s="31"/>
      <c r="C104" s="31"/>
      <c r="D104" s="21"/>
      <c r="E104" s="22"/>
      <c r="F104" s="24"/>
    </row>
    <row r="105" spans="1:6" x14ac:dyDescent="0.25">
      <c r="A105" s="18"/>
      <c r="B105" s="31"/>
      <c r="C105" s="31"/>
      <c r="D105" s="21"/>
      <c r="E105" s="22"/>
      <c r="F105" s="24"/>
    </row>
    <row r="106" spans="1:6" x14ac:dyDescent="0.25">
      <c r="A106" s="18"/>
      <c r="B106" s="31"/>
      <c r="C106" s="31"/>
      <c r="D106" s="21"/>
      <c r="E106" s="22"/>
      <c r="F106" s="24"/>
    </row>
    <row r="107" spans="1:6" x14ac:dyDescent="0.25">
      <c r="A107" s="18"/>
      <c r="B107" s="31"/>
      <c r="C107" s="31"/>
      <c r="D107" s="21"/>
      <c r="E107" s="22"/>
      <c r="F107" s="24"/>
    </row>
    <row r="108" spans="1:6" x14ac:dyDescent="0.25">
      <c r="A108" s="18"/>
      <c r="B108" s="31"/>
      <c r="C108" s="31"/>
      <c r="D108" s="21"/>
      <c r="E108" s="22"/>
      <c r="F108" s="24"/>
    </row>
    <row r="109" spans="1:6" x14ac:dyDescent="0.25">
      <c r="A109" s="18"/>
      <c r="B109" s="31"/>
      <c r="C109" s="31"/>
      <c r="D109" s="21"/>
      <c r="E109" s="22"/>
      <c r="F109" s="24"/>
    </row>
    <row r="110" spans="1:6" x14ac:dyDescent="0.25">
      <c r="A110" s="18"/>
      <c r="B110" s="31"/>
      <c r="C110" s="31"/>
      <c r="D110" s="21"/>
      <c r="E110" s="22"/>
      <c r="F110" s="24"/>
    </row>
    <row r="111" spans="1:6" x14ac:dyDescent="0.25">
      <c r="A111" s="18"/>
      <c r="B111" s="31"/>
      <c r="C111" s="31"/>
      <c r="D111" s="21"/>
      <c r="E111" s="22"/>
      <c r="F111" s="24"/>
    </row>
    <row r="112" spans="1:6" x14ac:dyDescent="0.25">
      <c r="A112" s="18"/>
      <c r="B112" s="31"/>
      <c r="C112" s="31"/>
      <c r="D112" s="21"/>
      <c r="E112" s="22"/>
      <c r="F112" s="24"/>
    </row>
    <row r="113" spans="1:6" x14ac:dyDescent="0.25">
      <c r="A113" s="18"/>
      <c r="B113" s="31"/>
      <c r="C113" s="31"/>
      <c r="D113" s="21"/>
      <c r="E113" s="22"/>
      <c r="F113" s="24"/>
    </row>
    <row r="114" spans="1:6" x14ac:dyDescent="0.25">
      <c r="A114" s="18"/>
      <c r="B114" s="31"/>
      <c r="C114" s="31"/>
      <c r="D114" s="21"/>
      <c r="E114" s="22"/>
      <c r="F114" s="24"/>
    </row>
    <row r="115" spans="1:6" x14ac:dyDescent="0.25">
      <c r="A115" s="18"/>
      <c r="B115" s="31"/>
      <c r="C115" s="31"/>
      <c r="D115" s="21"/>
      <c r="E115" s="22"/>
      <c r="F115" s="24"/>
    </row>
    <row r="116" spans="1:6" x14ac:dyDescent="0.25">
      <c r="A116" s="18"/>
      <c r="B116" s="31"/>
      <c r="C116" s="31"/>
      <c r="D116" s="21"/>
      <c r="E116" s="22"/>
      <c r="F116" s="24"/>
    </row>
    <row r="117" spans="1:6" x14ac:dyDescent="0.25">
      <c r="A117" s="18"/>
      <c r="B117" s="31"/>
      <c r="C117" s="31"/>
      <c r="D117" s="21"/>
      <c r="E117" s="22"/>
      <c r="F117" s="24"/>
    </row>
    <row r="118" spans="1:6" x14ac:dyDescent="0.25">
      <c r="A118" s="18"/>
      <c r="B118" s="31"/>
      <c r="C118" s="31"/>
      <c r="D118" s="21"/>
      <c r="E118" s="22"/>
      <c r="F118" s="24"/>
    </row>
    <row r="119" spans="1:6" x14ac:dyDescent="0.25">
      <c r="A119" s="18"/>
      <c r="B119" s="31"/>
      <c r="C119" s="31"/>
      <c r="D119" s="21"/>
      <c r="E119" s="22"/>
      <c r="F119" s="24"/>
    </row>
    <row r="120" spans="1:6" x14ac:dyDescent="0.25">
      <c r="A120" s="18"/>
      <c r="B120" s="31"/>
      <c r="C120" s="31"/>
      <c r="D120" s="21"/>
      <c r="E120" s="22"/>
      <c r="F120" s="24"/>
    </row>
    <row r="121" spans="1:6" x14ac:dyDescent="0.25">
      <c r="A121" s="18"/>
      <c r="B121" s="31"/>
      <c r="C121" s="31"/>
      <c r="D121" s="21"/>
      <c r="E121" s="22"/>
      <c r="F121" s="24"/>
    </row>
    <row r="122" spans="1:6" x14ac:dyDescent="0.25">
      <c r="A122" s="18"/>
      <c r="B122" s="31"/>
      <c r="C122" s="31"/>
      <c r="D122" s="21"/>
      <c r="E122" s="22"/>
      <c r="F122" s="24"/>
    </row>
    <row r="123" spans="1:6" x14ac:dyDescent="0.25">
      <c r="A123" s="18"/>
      <c r="B123" s="31"/>
      <c r="C123" s="31"/>
      <c r="D123" s="21"/>
      <c r="E123" s="22"/>
      <c r="F123" s="24"/>
    </row>
    <row r="124" spans="1:6" x14ac:dyDescent="0.25">
      <c r="A124" s="18"/>
      <c r="B124" s="31"/>
      <c r="C124" s="31"/>
      <c r="D124" s="21"/>
      <c r="E124" s="22"/>
      <c r="F124" s="24"/>
    </row>
    <row r="125" spans="1:6" x14ac:dyDescent="0.25">
      <c r="A125" s="18"/>
      <c r="B125" s="31"/>
      <c r="C125" s="31"/>
      <c r="D125" s="21"/>
      <c r="E125" s="22"/>
      <c r="F125" s="24"/>
    </row>
    <row r="126" spans="1:6" x14ac:dyDescent="0.25">
      <c r="A126" s="18"/>
      <c r="B126" s="31"/>
      <c r="C126" s="31"/>
      <c r="D126" s="21"/>
      <c r="E126" s="22"/>
      <c r="F126" s="24"/>
    </row>
    <row r="127" spans="1:6" x14ac:dyDescent="0.25">
      <c r="A127" s="18"/>
      <c r="B127" s="31"/>
      <c r="C127" s="31"/>
      <c r="D127" s="21"/>
      <c r="E127" s="22"/>
      <c r="F127" s="24"/>
    </row>
    <row r="128" spans="1:6" x14ac:dyDescent="0.25">
      <c r="A128" s="18"/>
      <c r="B128" s="31"/>
      <c r="C128" s="31"/>
      <c r="D128" s="21"/>
      <c r="E128" s="22"/>
      <c r="F128" s="24"/>
    </row>
    <row r="129" spans="1:6" x14ac:dyDescent="0.25">
      <c r="A129" s="18"/>
      <c r="B129" s="31"/>
      <c r="C129" s="31"/>
      <c r="D129" s="21"/>
      <c r="E129" s="22"/>
      <c r="F129" s="24"/>
    </row>
    <row r="130" spans="1:6" x14ac:dyDescent="0.25">
      <c r="A130" s="18"/>
      <c r="B130" s="31"/>
      <c r="C130" s="31"/>
      <c r="D130" s="21"/>
      <c r="E130" s="22"/>
      <c r="F130" s="24"/>
    </row>
    <row r="131" spans="1:6" x14ac:dyDescent="0.25">
      <c r="A131" s="18"/>
      <c r="B131" s="31"/>
      <c r="C131" s="31"/>
      <c r="D131" s="21"/>
      <c r="E131" s="22"/>
      <c r="F131" s="24"/>
    </row>
    <row r="132" spans="1:6" x14ac:dyDescent="0.25">
      <c r="A132" s="18"/>
      <c r="B132" s="31"/>
      <c r="C132" s="31"/>
      <c r="D132" s="21"/>
      <c r="E132" s="22"/>
      <c r="F132" s="24"/>
    </row>
    <row r="133" spans="1:6" x14ac:dyDescent="0.25">
      <c r="A133" s="18"/>
      <c r="B133" s="31"/>
      <c r="C133" s="31"/>
      <c r="D133" s="21"/>
      <c r="E133" s="22"/>
      <c r="F133" s="24"/>
    </row>
    <row r="134" spans="1:6" x14ac:dyDescent="0.25">
      <c r="A134" s="18"/>
      <c r="B134" s="31"/>
      <c r="C134" s="31"/>
      <c r="D134" s="21"/>
      <c r="E134" s="22"/>
      <c r="F134" s="24"/>
    </row>
    <row r="135" spans="1:6" x14ac:dyDescent="0.25">
      <c r="A135" s="18"/>
      <c r="B135" s="31"/>
      <c r="C135" s="31"/>
      <c r="D135" s="21"/>
      <c r="E135" s="22"/>
      <c r="F135" s="24"/>
    </row>
    <row r="136" spans="1:6" x14ac:dyDescent="0.25">
      <c r="A136" s="18"/>
      <c r="B136" s="31"/>
      <c r="C136" s="31"/>
      <c r="D136" s="21"/>
      <c r="E136" s="22"/>
      <c r="F136" s="24"/>
    </row>
    <row r="137" spans="1:6" x14ac:dyDescent="0.25">
      <c r="A137" s="18"/>
      <c r="B137" s="31"/>
      <c r="C137" s="31"/>
      <c r="D137" s="21"/>
      <c r="E137" s="22"/>
      <c r="F137" s="24"/>
    </row>
    <row r="138" spans="1:6" x14ac:dyDescent="0.25">
      <c r="A138" s="18"/>
      <c r="B138" s="31"/>
      <c r="C138" s="31"/>
      <c r="D138" s="21"/>
      <c r="E138" s="22"/>
      <c r="F138" s="24"/>
    </row>
    <row r="139" spans="1:6" x14ac:dyDescent="0.25">
      <c r="A139" s="18"/>
      <c r="B139" s="31"/>
      <c r="C139" s="31"/>
      <c r="D139" s="21"/>
      <c r="E139" s="22"/>
      <c r="F139" s="24"/>
    </row>
    <row r="140" spans="1:6" x14ac:dyDescent="0.25">
      <c r="A140" s="18"/>
      <c r="B140" s="31"/>
      <c r="C140" s="31"/>
      <c r="D140" s="21"/>
      <c r="E140" s="22"/>
      <c r="F140" s="24"/>
    </row>
    <row r="141" spans="1:6" x14ac:dyDescent="0.25">
      <c r="A141" s="18"/>
      <c r="B141" s="31"/>
      <c r="C141" s="31"/>
      <c r="D141" s="21"/>
      <c r="E141" s="22"/>
      <c r="F141" s="24"/>
    </row>
    <row r="142" spans="1:6" x14ac:dyDescent="0.25">
      <c r="A142" s="18"/>
      <c r="B142" s="31"/>
      <c r="C142" s="31"/>
      <c r="D142" s="21"/>
      <c r="E142" s="22"/>
      <c r="F142" s="24"/>
    </row>
    <row r="143" spans="1:6" x14ac:dyDescent="0.25">
      <c r="A143" s="18"/>
      <c r="B143" s="31"/>
      <c r="C143" s="31"/>
      <c r="D143" s="21"/>
      <c r="E143" s="22"/>
      <c r="F143" s="24"/>
    </row>
    <row r="144" spans="1:6" x14ac:dyDescent="0.25">
      <c r="A144" s="18"/>
      <c r="B144" s="31"/>
      <c r="C144" s="31"/>
      <c r="D144" s="21"/>
      <c r="E144" s="22"/>
      <c r="F144" s="24"/>
    </row>
    <row r="145" spans="1:6" x14ac:dyDescent="0.25">
      <c r="A145" s="18"/>
      <c r="B145" s="31"/>
      <c r="C145" s="31"/>
      <c r="D145" s="21"/>
      <c r="E145" s="22"/>
      <c r="F145" s="24"/>
    </row>
    <row r="146" spans="1:6" x14ac:dyDescent="0.25">
      <c r="A146" s="18"/>
      <c r="B146" s="31"/>
      <c r="C146" s="31"/>
      <c r="D146" s="21"/>
      <c r="E146" s="22"/>
      <c r="F146" s="24"/>
    </row>
    <row r="147" spans="1:6" x14ac:dyDescent="0.25">
      <c r="A147" s="18"/>
      <c r="B147" s="31"/>
      <c r="C147" s="31"/>
      <c r="D147" s="21"/>
      <c r="E147" s="22"/>
      <c r="F147" s="24"/>
    </row>
    <row r="148" spans="1:6" x14ac:dyDescent="0.25">
      <c r="A148" s="18"/>
      <c r="B148" s="31"/>
      <c r="C148" s="31"/>
      <c r="D148" s="21"/>
      <c r="E148" s="22"/>
      <c r="F148" s="24"/>
    </row>
    <row r="149" spans="1:6" x14ac:dyDescent="0.25">
      <c r="A149" s="18"/>
      <c r="B149" s="31"/>
      <c r="C149" s="31"/>
      <c r="D149" s="21"/>
      <c r="E149" s="22"/>
      <c r="F149" s="24"/>
    </row>
    <row r="150" spans="1:6" x14ac:dyDescent="0.25">
      <c r="A150" s="18"/>
      <c r="B150" s="31"/>
      <c r="C150" s="31"/>
      <c r="D150" s="21"/>
      <c r="E150" s="22"/>
      <c r="F150" s="24"/>
    </row>
    <row r="151" spans="1:6" x14ac:dyDescent="0.25">
      <c r="A151" s="18"/>
      <c r="B151" s="31"/>
      <c r="C151" s="31"/>
      <c r="D151" s="21"/>
      <c r="E151" s="22"/>
      <c r="F151" s="24"/>
    </row>
    <row r="152" spans="1:6" x14ac:dyDescent="0.25">
      <c r="A152" s="18"/>
      <c r="B152" s="31"/>
      <c r="C152" s="31"/>
      <c r="D152" s="21"/>
      <c r="E152" s="22"/>
      <c r="F152" s="24"/>
    </row>
    <row r="153" spans="1:6" x14ac:dyDescent="0.25">
      <c r="A153" s="18"/>
      <c r="B153" s="31"/>
      <c r="C153" s="31"/>
      <c r="D153" s="21"/>
      <c r="E153" s="22"/>
      <c r="F153" s="24"/>
    </row>
    <row r="154" spans="1:6" x14ac:dyDescent="0.25">
      <c r="A154" s="18"/>
      <c r="B154" s="31"/>
      <c r="C154" s="31"/>
      <c r="D154" s="21"/>
      <c r="E154" s="22"/>
      <c r="F154" s="24"/>
    </row>
  </sheetData>
  <mergeCells count="104">
    <mergeCell ref="B152:C152"/>
    <mergeCell ref="B153:C153"/>
    <mergeCell ref="B154:C154"/>
    <mergeCell ref="B147:C147"/>
    <mergeCell ref="B148:C148"/>
    <mergeCell ref="B149:C149"/>
    <mergeCell ref="B150:C150"/>
    <mergeCell ref="B151:C151"/>
    <mergeCell ref="B142:C142"/>
    <mergeCell ref="B143:C143"/>
    <mergeCell ref="B144:C144"/>
    <mergeCell ref="B145:C145"/>
    <mergeCell ref="B146:C146"/>
    <mergeCell ref="B137:C137"/>
    <mergeCell ref="B138:C138"/>
    <mergeCell ref="B139:C139"/>
    <mergeCell ref="B140:C140"/>
    <mergeCell ref="B141:C141"/>
    <mergeCell ref="B132:C132"/>
    <mergeCell ref="B133:C133"/>
    <mergeCell ref="B134:C134"/>
    <mergeCell ref="B135:C135"/>
    <mergeCell ref="B136:C136"/>
    <mergeCell ref="B127:C127"/>
    <mergeCell ref="B128:C128"/>
    <mergeCell ref="B129:C129"/>
    <mergeCell ref="B130:C130"/>
    <mergeCell ref="B131:C131"/>
    <mergeCell ref="B122:C122"/>
    <mergeCell ref="B123:C123"/>
    <mergeCell ref="B124:C124"/>
    <mergeCell ref="B125:C125"/>
    <mergeCell ref="B126:C126"/>
    <mergeCell ref="B117:C117"/>
    <mergeCell ref="B118:C118"/>
    <mergeCell ref="B119:C119"/>
    <mergeCell ref="B120:C120"/>
    <mergeCell ref="B121:C121"/>
    <mergeCell ref="B112:C112"/>
    <mergeCell ref="B113:C113"/>
    <mergeCell ref="B114:C114"/>
    <mergeCell ref="B115:C115"/>
    <mergeCell ref="B116:C116"/>
    <mergeCell ref="B107:C107"/>
    <mergeCell ref="B108:C108"/>
    <mergeCell ref="B109:C109"/>
    <mergeCell ref="B110:C110"/>
    <mergeCell ref="B111:C111"/>
    <mergeCell ref="B102:C102"/>
    <mergeCell ref="B103:C103"/>
    <mergeCell ref="B104:C104"/>
    <mergeCell ref="B105:C105"/>
    <mergeCell ref="B106:C106"/>
    <mergeCell ref="B97:C97"/>
    <mergeCell ref="B98:C98"/>
    <mergeCell ref="B99:C99"/>
    <mergeCell ref="B100:C100"/>
    <mergeCell ref="B101:C101"/>
    <mergeCell ref="B92:C92"/>
    <mergeCell ref="B93:C93"/>
    <mergeCell ref="B94:C94"/>
    <mergeCell ref="B95:C95"/>
    <mergeCell ref="B96:C96"/>
    <mergeCell ref="B87:C87"/>
    <mergeCell ref="B88:C88"/>
    <mergeCell ref="B89:C89"/>
    <mergeCell ref="B90:C90"/>
    <mergeCell ref="B91:C91"/>
    <mergeCell ref="B82:C82"/>
    <mergeCell ref="B83:C83"/>
    <mergeCell ref="B84:C84"/>
    <mergeCell ref="B85:C85"/>
    <mergeCell ref="B86:C86"/>
    <mergeCell ref="B77:C77"/>
    <mergeCell ref="B78:C78"/>
    <mergeCell ref="B79:C79"/>
    <mergeCell ref="B80:C80"/>
    <mergeCell ref="B81:C81"/>
    <mergeCell ref="B72:C72"/>
    <mergeCell ref="B73:C73"/>
    <mergeCell ref="B74:C74"/>
    <mergeCell ref="B75:C75"/>
    <mergeCell ref="B76:C76"/>
    <mergeCell ref="B67:C67"/>
    <mergeCell ref="B68:C68"/>
    <mergeCell ref="B69:C69"/>
    <mergeCell ref="B70:C70"/>
    <mergeCell ref="B71:C71"/>
    <mergeCell ref="B62:C62"/>
    <mergeCell ref="B63:C63"/>
    <mergeCell ref="B64:C64"/>
    <mergeCell ref="B65:C65"/>
    <mergeCell ref="B66:C66"/>
    <mergeCell ref="B57:C57"/>
    <mergeCell ref="B58:C58"/>
    <mergeCell ref="B59:C59"/>
    <mergeCell ref="B60:C60"/>
    <mergeCell ref="B61:C61"/>
    <mergeCell ref="B56:C56"/>
    <mergeCell ref="B55:C55"/>
    <mergeCell ref="A44:B44"/>
    <mergeCell ref="A45:B45"/>
    <mergeCell ref="B53:C53"/>
    <mergeCell ref="B54:C54"/>
  </mergeCells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6D6F-F0E5-4763-8F78-0375F1A09A45}">
  <dimension ref="A1:F141"/>
  <sheetViews>
    <sheetView workbookViewId="0">
      <selection activeCell="C2" sqref="C2:C9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" t="s">
        <v>37</v>
      </c>
      <c r="B1" s="2" t="s">
        <v>38</v>
      </c>
      <c r="C1" s="1" t="s">
        <v>11</v>
      </c>
      <c r="D1" s="1" t="s">
        <v>10</v>
      </c>
    </row>
    <row r="2" spans="1:5" x14ac:dyDescent="0.25">
      <c r="A2" s="4" t="s">
        <v>42</v>
      </c>
      <c r="B2" s="4">
        <v>41.32</v>
      </c>
      <c r="C2" s="8">
        <v>-0.77777777777777701</v>
      </c>
      <c r="D2" s="29">
        <f>B2*C2/100</f>
        <v>-0.32137777777777748</v>
      </c>
    </row>
    <row r="3" spans="1:5" x14ac:dyDescent="0.25">
      <c r="A3" s="4" t="s">
        <v>39</v>
      </c>
      <c r="B3" s="4">
        <v>3.28</v>
      </c>
      <c r="C3" s="8">
        <v>9.8930481283422402</v>
      </c>
      <c r="D3" s="29">
        <f t="shared" ref="D3:D9" si="0">B3*C3/100</f>
        <v>0.32449197860962548</v>
      </c>
    </row>
    <row r="4" spans="1:5" x14ac:dyDescent="0.25">
      <c r="A4" s="4" t="s">
        <v>40</v>
      </c>
      <c r="B4" s="4">
        <v>0.19</v>
      </c>
      <c r="C4" s="8">
        <v>-8.0980066445182697</v>
      </c>
      <c r="D4" s="29">
        <f t="shared" si="0"/>
        <v>-1.5386212624584712E-2</v>
      </c>
    </row>
    <row r="5" spans="1:5" x14ac:dyDescent="0.25">
      <c r="A5" s="4" t="s">
        <v>41</v>
      </c>
      <c r="B5" s="4">
        <v>22.96</v>
      </c>
      <c r="C5" s="4">
        <v>0.33</v>
      </c>
      <c r="D5" s="29">
        <f t="shared" si="0"/>
        <v>7.5768000000000002E-2</v>
      </c>
    </row>
    <row r="6" spans="1:5" x14ac:dyDescent="0.25">
      <c r="A6" s="4" t="s">
        <v>90</v>
      </c>
      <c r="B6" s="4">
        <v>5.29</v>
      </c>
      <c r="C6" s="4">
        <v>0.12</v>
      </c>
      <c r="D6" s="29">
        <f t="shared" si="0"/>
        <v>6.3480000000000003E-3</v>
      </c>
    </row>
    <row r="7" spans="1:5" x14ac:dyDescent="0.25">
      <c r="A7" s="4" t="s">
        <v>91</v>
      </c>
      <c r="B7" s="4">
        <v>1.07</v>
      </c>
      <c r="C7" s="4">
        <v>-9.89</v>
      </c>
      <c r="D7" s="29">
        <f t="shared" si="0"/>
        <v>-0.10582300000000001</v>
      </c>
    </row>
    <row r="8" spans="1:5" x14ac:dyDescent="0.25">
      <c r="A8" s="4" t="s">
        <v>92</v>
      </c>
      <c r="B8" s="4">
        <v>0.13</v>
      </c>
      <c r="C8" s="4">
        <v>0.1</v>
      </c>
      <c r="D8" s="29">
        <f t="shared" si="0"/>
        <v>1.3000000000000002E-4</v>
      </c>
    </row>
    <row r="9" spans="1:5" x14ac:dyDescent="0.25">
      <c r="A9" s="4" t="s">
        <v>93</v>
      </c>
      <c r="B9" s="4">
        <v>0.03</v>
      </c>
      <c r="C9" s="4">
        <v>0.47</v>
      </c>
      <c r="D9" s="29">
        <f t="shared" si="0"/>
        <v>1.4099999999999998E-4</v>
      </c>
      <c r="E9" s="4"/>
    </row>
    <row r="10" spans="1:5" x14ac:dyDescent="0.25">
      <c r="A10" s="12" t="s">
        <v>53</v>
      </c>
      <c r="B10" s="5">
        <f>B2++B3+B4+B5+B6+B7+B8+B9</f>
        <v>74.27</v>
      </c>
      <c r="C10" s="4"/>
      <c r="D10" s="6">
        <f>D2+D3+D4+D5+D6+D7+D8+D9</f>
        <v>-3.5708011792736728E-2</v>
      </c>
      <c r="E10" s="17"/>
    </row>
    <row r="11" spans="1:5" x14ac:dyDescent="0.25">
      <c r="A11" s="31"/>
      <c r="B11" s="31"/>
      <c r="C11" s="10"/>
      <c r="D11" s="10"/>
    </row>
    <row r="31" spans="1:6" x14ac:dyDescent="0.25">
      <c r="A31" s="5"/>
      <c r="B31" s="32"/>
      <c r="C31" s="32"/>
      <c r="D31" s="20"/>
      <c r="E31" s="5"/>
      <c r="F31" s="5"/>
    </row>
    <row r="32" spans="1:6" x14ac:dyDescent="0.25">
      <c r="A32" s="23"/>
      <c r="B32" s="31"/>
      <c r="C32" s="31"/>
      <c r="D32" s="21"/>
      <c r="E32" s="21"/>
      <c r="F32" s="24"/>
    </row>
    <row r="33" spans="1:6" x14ac:dyDescent="0.25">
      <c r="A33" s="23"/>
      <c r="B33" s="31"/>
      <c r="C33" s="31"/>
      <c r="D33" s="21"/>
      <c r="E33" s="21"/>
      <c r="F33" s="24"/>
    </row>
    <row r="34" spans="1:6" x14ac:dyDescent="0.25">
      <c r="A34" s="23"/>
      <c r="B34" s="31"/>
      <c r="C34" s="31"/>
      <c r="D34" s="21"/>
      <c r="E34" s="21"/>
      <c r="F34" s="24"/>
    </row>
    <row r="35" spans="1:6" x14ac:dyDescent="0.25">
      <c r="A35" s="23"/>
      <c r="B35" s="31"/>
      <c r="C35" s="31"/>
      <c r="D35" s="21"/>
      <c r="E35" s="21"/>
      <c r="F35" s="24"/>
    </row>
    <row r="36" spans="1:6" x14ac:dyDescent="0.25">
      <c r="A36" s="23"/>
      <c r="B36" s="31"/>
      <c r="C36" s="31"/>
      <c r="D36" s="21"/>
      <c r="E36" s="21"/>
      <c r="F36" s="24"/>
    </row>
    <row r="37" spans="1:6" x14ac:dyDescent="0.25">
      <c r="A37" s="23"/>
      <c r="B37" s="31"/>
      <c r="C37" s="31"/>
      <c r="D37" s="21"/>
      <c r="E37" s="21"/>
      <c r="F37" s="24"/>
    </row>
    <row r="38" spans="1:6" x14ac:dyDescent="0.25">
      <c r="A38" s="23"/>
      <c r="B38" s="31"/>
      <c r="C38" s="31"/>
      <c r="D38" s="21"/>
      <c r="E38" s="21"/>
      <c r="F38" s="24"/>
    </row>
    <row r="39" spans="1:6" x14ac:dyDescent="0.25">
      <c r="A39" s="23"/>
      <c r="B39" s="31"/>
      <c r="C39" s="31"/>
      <c r="D39" s="21"/>
      <c r="E39" s="21"/>
      <c r="F39" s="24"/>
    </row>
    <row r="40" spans="1:6" x14ac:dyDescent="0.25">
      <c r="A40" s="23"/>
      <c r="B40" s="31"/>
      <c r="C40" s="31"/>
      <c r="D40" s="21"/>
      <c r="E40" s="21"/>
      <c r="F40" s="24"/>
    </row>
    <row r="41" spans="1:6" x14ac:dyDescent="0.25">
      <c r="A41" s="23"/>
      <c r="B41" s="31"/>
      <c r="C41" s="31"/>
      <c r="D41" s="21"/>
      <c r="E41" s="21"/>
      <c r="F41" s="24"/>
    </row>
    <row r="42" spans="1:6" x14ac:dyDescent="0.25">
      <c r="A42" s="23"/>
      <c r="B42" s="31"/>
      <c r="C42" s="31"/>
      <c r="D42" s="21"/>
      <c r="E42" s="21"/>
      <c r="F42" s="24"/>
    </row>
    <row r="43" spans="1:6" x14ac:dyDescent="0.25">
      <c r="A43" s="23"/>
      <c r="B43" s="31"/>
      <c r="C43" s="31"/>
      <c r="D43" s="21"/>
      <c r="E43" s="21"/>
      <c r="F43" s="24"/>
    </row>
    <row r="44" spans="1:6" x14ac:dyDescent="0.25">
      <c r="A44" s="23"/>
      <c r="B44" s="31"/>
      <c r="C44" s="31"/>
      <c r="D44" s="21"/>
      <c r="E44" s="21"/>
      <c r="F44" s="24"/>
    </row>
    <row r="45" spans="1:6" x14ac:dyDescent="0.25">
      <c r="A45" s="23"/>
      <c r="B45" s="31"/>
      <c r="C45" s="31"/>
      <c r="D45" s="21"/>
      <c r="E45" s="21"/>
      <c r="F45" s="24"/>
    </row>
    <row r="46" spans="1:6" x14ac:dyDescent="0.25">
      <c r="A46" s="23"/>
      <c r="B46" s="31"/>
      <c r="C46" s="31"/>
      <c r="D46" s="21"/>
      <c r="E46" s="21"/>
      <c r="F46" s="24"/>
    </row>
    <row r="47" spans="1:6" x14ac:dyDescent="0.25">
      <c r="A47" s="23"/>
      <c r="B47" s="31"/>
      <c r="C47" s="31"/>
      <c r="D47" s="21"/>
      <c r="E47" s="21"/>
      <c r="F47" s="24"/>
    </row>
    <row r="48" spans="1:6" x14ac:dyDescent="0.25">
      <c r="A48" s="23"/>
      <c r="B48" s="31"/>
      <c r="C48" s="31"/>
      <c r="D48" s="21"/>
      <c r="E48" s="21"/>
      <c r="F48" s="24"/>
    </row>
    <row r="49" spans="1:6" x14ac:dyDescent="0.25">
      <c r="A49" s="23"/>
      <c r="B49" s="31"/>
      <c r="C49" s="31"/>
      <c r="D49" s="21"/>
      <c r="E49" s="21"/>
      <c r="F49" s="24"/>
    </row>
    <row r="50" spans="1:6" x14ac:dyDescent="0.25">
      <c r="A50" s="23"/>
      <c r="B50" s="31"/>
      <c r="C50" s="31"/>
      <c r="D50" s="21"/>
      <c r="E50" s="21"/>
      <c r="F50" s="24"/>
    </row>
    <row r="51" spans="1:6" x14ac:dyDescent="0.25">
      <c r="A51" s="23"/>
      <c r="B51" s="31"/>
      <c r="C51" s="31"/>
      <c r="D51" s="21"/>
      <c r="E51" s="21"/>
      <c r="F51" s="24"/>
    </row>
    <row r="52" spans="1:6" x14ac:dyDescent="0.25">
      <c r="A52" s="23"/>
      <c r="B52" s="31"/>
      <c r="C52" s="31"/>
      <c r="D52" s="21"/>
      <c r="E52" s="21"/>
      <c r="F52" s="24"/>
    </row>
    <row r="53" spans="1:6" x14ac:dyDescent="0.25">
      <c r="A53" s="23"/>
      <c r="B53" s="31"/>
      <c r="C53" s="31"/>
      <c r="D53" s="21"/>
      <c r="E53" s="21"/>
      <c r="F53" s="24"/>
    </row>
    <row r="54" spans="1:6" x14ac:dyDescent="0.25">
      <c r="A54" s="23"/>
      <c r="B54" s="31"/>
      <c r="C54" s="31"/>
      <c r="D54" s="21"/>
      <c r="E54" s="21"/>
      <c r="F54" s="24"/>
    </row>
    <row r="55" spans="1:6" x14ac:dyDescent="0.25">
      <c r="A55" s="23"/>
      <c r="B55" s="31"/>
      <c r="C55" s="31"/>
      <c r="D55" s="21"/>
      <c r="E55" s="21"/>
      <c r="F55" s="24"/>
    </row>
    <row r="56" spans="1:6" x14ac:dyDescent="0.25">
      <c r="A56" s="23"/>
      <c r="B56" s="31"/>
      <c r="C56" s="31"/>
      <c r="D56" s="21"/>
      <c r="E56" s="21"/>
      <c r="F56" s="24"/>
    </row>
    <row r="57" spans="1:6" x14ac:dyDescent="0.25">
      <c r="A57" s="23"/>
      <c r="B57" s="31"/>
      <c r="C57" s="31"/>
      <c r="D57" s="21"/>
      <c r="E57" s="21"/>
      <c r="F57" s="24"/>
    </row>
    <row r="58" spans="1:6" x14ac:dyDescent="0.25">
      <c r="A58" s="23"/>
      <c r="B58" s="31"/>
      <c r="C58" s="31"/>
      <c r="D58" s="21"/>
      <c r="E58" s="21"/>
      <c r="F58" s="24"/>
    </row>
    <row r="59" spans="1:6" x14ac:dyDescent="0.25">
      <c r="A59" s="23"/>
      <c r="B59" s="31"/>
      <c r="C59" s="31"/>
      <c r="D59" s="21"/>
      <c r="E59" s="21"/>
      <c r="F59" s="24"/>
    </row>
    <row r="60" spans="1:6" x14ac:dyDescent="0.25">
      <c r="A60" s="23"/>
      <c r="B60" s="31"/>
      <c r="C60" s="31"/>
      <c r="D60" s="21"/>
      <c r="E60" s="21"/>
      <c r="F60" s="24"/>
    </row>
    <row r="61" spans="1:6" x14ac:dyDescent="0.25">
      <c r="A61" s="23"/>
      <c r="B61" s="31"/>
      <c r="C61" s="31"/>
      <c r="D61" s="21"/>
      <c r="E61" s="21"/>
      <c r="F61" s="24"/>
    </row>
    <row r="62" spans="1:6" x14ac:dyDescent="0.25">
      <c r="A62" s="23"/>
      <c r="B62" s="31"/>
      <c r="C62" s="31"/>
      <c r="D62" s="21"/>
      <c r="E62" s="21"/>
      <c r="F62" s="24"/>
    </row>
    <row r="63" spans="1:6" x14ac:dyDescent="0.25">
      <c r="A63" s="23"/>
      <c r="B63" s="31"/>
      <c r="C63" s="31"/>
      <c r="D63" s="21"/>
      <c r="E63" s="21"/>
      <c r="F63" s="24"/>
    </row>
    <row r="64" spans="1:6" x14ac:dyDescent="0.25">
      <c r="A64" s="23"/>
      <c r="B64" s="31"/>
      <c r="C64" s="31"/>
      <c r="D64" s="21"/>
      <c r="E64" s="21"/>
      <c r="F64" s="24"/>
    </row>
    <row r="65" spans="1:6" x14ac:dyDescent="0.25">
      <c r="A65" s="23"/>
      <c r="B65" s="31"/>
      <c r="C65" s="31"/>
      <c r="D65" s="21"/>
      <c r="E65" s="21"/>
      <c r="F65" s="24"/>
    </row>
    <row r="66" spans="1:6" x14ac:dyDescent="0.25">
      <c r="A66" s="23"/>
      <c r="B66" s="31"/>
      <c r="C66" s="31"/>
      <c r="D66" s="21"/>
      <c r="E66" s="21"/>
      <c r="F66" s="24"/>
    </row>
    <row r="67" spans="1:6" x14ac:dyDescent="0.25">
      <c r="A67" s="23"/>
      <c r="B67" s="31"/>
      <c r="C67" s="31"/>
      <c r="D67" s="21"/>
      <c r="E67" s="21"/>
      <c r="F67" s="24"/>
    </row>
    <row r="68" spans="1:6" x14ac:dyDescent="0.25">
      <c r="A68" s="23"/>
      <c r="B68" s="31"/>
      <c r="C68" s="31"/>
      <c r="D68" s="21"/>
      <c r="E68" s="21"/>
      <c r="F68" s="24"/>
    </row>
    <row r="69" spans="1:6" x14ac:dyDescent="0.25">
      <c r="A69" s="23"/>
      <c r="B69" s="31"/>
      <c r="C69" s="31"/>
      <c r="D69" s="21"/>
      <c r="E69" s="21"/>
      <c r="F69" s="24"/>
    </row>
    <row r="70" spans="1:6" x14ac:dyDescent="0.25">
      <c r="A70" s="23"/>
      <c r="B70" s="31"/>
      <c r="C70" s="31"/>
      <c r="D70" s="21"/>
      <c r="E70" s="21"/>
      <c r="F70" s="24"/>
    </row>
    <row r="71" spans="1:6" x14ac:dyDescent="0.25">
      <c r="A71" s="23"/>
      <c r="B71" s="31"/>
      <c r="C71" s="31"/>
      <c r="D71" s="21"/>
      <c r="E71" s="21"/>
      <c r="F71" s="24"/>
    </row>
    <row r="72" spans="1:6" x14ac:dyDescent="0.25">
      <c r="A72" s="23"/>
      <c r="B72" s="31"/>
      <c r="C72" s="31"/>
      <c r="D72" s="21"/>
      <c r="E72" s="21"/>
      <c r="F72" s="24"/>
    </row>
    <row r="73" spans="1:6" x14ac:dyDescent="0.25">
      <c r="A73" s="23"/>
      <c r="B73" s="31"/>
      <c r="C73" s="31"/>
      <c r="D73" s="21"/>
      <c r="E73" s="21"/>
      <c r="F73" s="24"/>
    </row>
    <row r="74" spans="1:6" x14ac:dyDescent="0.25">
      <c r="A74" s="23"/>
      <c r="B74" s="31"/>
      <c r="C74" s="31"/>
      <c r="D74" s="21"/>
      <c r="E74" s="21"/>
      <c r="F74" s="24"/>
    </row>
    <row r="75" spans="1:6" x14ac:dyDescent="0.25">
      <c r="A75" s="23"/>
      <c r="B75" s="31"/>
      <c r="C75" s="31"/>
      <c r="D75" s="21"/>
      <c r="E75" s="21"/>
      <c r="F75" s="24"/>
    </row>
    <row r="76" spans="1:6" x14ac:dyDescent="0.25">
      <c r="A76" s="23"/>
      <c r="B76" s="31"/>
      <c r="C76" s="31"/>
      <c r="D76" s="21"/>
      <c r="E76" s="21"/>
      <c r="F76" s="24"/>
    </row>
    <row r="77" spans="1:6" x14ac:dyDescent="0.25">
      <c r="A77" s="23"/>
      <c r="B77" s="31"/>
      <c r="C77" s="31"/>
      <c r="D77" s="21"/>
      <c r="E77" s="21"/>
      <c r="F77" s="24"/>
    </row>
    <row r="78" spans="1:6" x14ac:dyDescent="0.25">
      <c r="A78" s="23"/>
      <c r="B78" s="31"/>
      <c r="C78" s="31"/>
      <c r="D78" s="21"/>
      <c r="E78" s="21"/>
      <c r="F78" s="24"/>
    </row>
    <row r="79" spans="1:6" x14ac:dyDescent="0.25">
      <c r="A79" s="23"/>
      <c r="B79" s="31"/>
      <c r="C79" s="31"/>
      <c r="D79" s="21"/>
      <c r="E79" s="21"/>
      <c r="F79" s="24"/>
    </row>
    <row r="80" spans="1:6" x14ac:dyDescent="0.25">
      <c r="A80" s="23"/>
      <c r="B80" s="31"/>
      <c r="C80" s="31"/>
      <c r="D80" s="21"/>
      <c r="E80" s="21"/>
      <c r="F80" s="24"/>
    </row>
    <row r="81" spans="1:6" x14ac:dyDescent="0.25">
      <c r="A81" s="23"/>
      <c r="B81" s="31"/>
      <c r="C81" s="31"/>
      <c r="D81" s="21"/>
      <c r="E81" s="21"/>
      <c r="F81" s="24"/>
    </row>
    <row r="82" spans="1:6" x14ac:dyDescent="0.25">
      <c r="A82" s="23"/>
      <c r="B82" s="31"/>
      <c r="C82" s="31"/>
      <c r="D82" s="21"/>
      <c r="E82" s="21"/>
      <c r="F82" s="24"/>
    </row>
    <row r="83" spans="1:6" x14ac:dyDescent="0.25">
      <c r="A83" s="23"/>
      <c r="B83" s="31"/>
      <c r="C83" s="31"/>
      <c r="D83" s="21"/>
      <c r="E83" s="21"/>
      <c r="F83" s="24"/>
    </row>
    <row r="84" spans="1:6" x14ac:dyDescent="0.25">
      <c r="A84" s="23"/>
      <c r="B84" s="31"/>
      <c r="C84" s="31"/>
      <c r="D84" s="21"/>
      <c r="E84" s="21"/>
      <c r="F84" s="24"/>
    </row>
    <row r="85" spans="1:6" x14ac:dyDescent="0.25">
      <c r="A85" s="23"/>
      <c r="B85" s="31"/>
      <c r="C85" s="31"/>
      <c r="D85" s="21"/>
      <c r="E85" s="21"/>
      <c r="F85" s="24"/>
    </row>
    <row r="86" spans="1:6" x14ac:dyDescent="0.25">
      <c r="A86" s="23"/>
      <c r="B86" s="31"/>
      <c r="C86" s="31"/>
      <c r="D86" s="21"/>
      <c r="E86" s="21"/>
      <c r="F86" s="24"/>
    </row>
    <row r="87" spans="1:6" x14ac:dyDescent="0.25">
      <c r="A87" s="23"/>
      <c r="B87" s="31"/>
      <c r="C87" s="31"/>
      <c r="D87" s="21"/>
      <c r="E87" s="21"/>
      <c r="F87" s="24"/>
    </row>
    <row r="88" spans="1:6" x14ac:dyDescent="0.25">
      <c r="A88" s="23"/>
      <c r="B88" s="31"/>
      <c r="C88" s="31"/>
      <c r="D88" s="21"/>
      <c r="E88" s="21"/>
      <c r="F88" s="24"/>
    </row>
    <row r="89" spans="1:6" x14ac:dyDescent="0.25">
      <c r="A89" s="23"/>
      <c r="B89" s="31"/>
      <c r="C89" s="31"/>
      <c r="D89" s="21"/>
      <c r="E89" s="21"/>
      <c r="F89" s="24"/>
    </row>
    <row r="90" spans="1:6" x14ac:dyDescent="0.25">
      <c r="A90" s="23"/>
      <c r="B90" s="31"/>
      <c r="C90" s="31"/>
      <c r="D90" s="21"/>
      <c r="E90" s="21"/>
      <c r="F90" s="24"/>
    </row>
    <row r="91" spans="1:6" x14ac:dyDescent="0.25">
      <c r="A91" s="23"/>
      <c r="B91" s="31"/>
      <c r="C91" s="31"/>
      <c r="D91" s="21"/>
      <c r="E91" s="21"/>
      <c r="F91" s="24"/>
    </row>
    <row r="92" spans="1:6" x14ac:dyDescent="0.25">
      <c r="A92" s="23"/>
      <c r="B92" s="31"/>
      <c r="C92" s="31"/>
      <c r="D92" s="21"/>
      <c r="E92" s="21"/>
      <c r="F92" s="24"/>
    </row>
    <row r="93" spans="1:6" x14ac:dyDescent="0.25">
      <c r="A93" s="23"/>
      <c r="B93" s="31"/>
      <c r="C93" s="31"/>
      <c r="D93" s="21"/>
      <c r="E93" s="21"/>
      <c r="F93" s="24"/>
    </row>
    <row r="94" spans="1:6" x14ac:dyDescent="0.25">
      <c r="A94" s="23"/>
      <c r="B94" s="31"/>
      <c r="C94" s="31"/>
      <c r="D94" s="21"/>
      <c r="E94" s="21"/>
      <c r="F94" s="24"/>
    </row>
    <row r="95" spans="1:6" x14ac:dyDescent="0.25">
      <c r="A95" s="23"/>
      <c r="B95" s="31"/>
      <c r="C95" s="31"/>
      <c r="D95" s="21"/>
      <c r="E95" s="21"/>
      <c r="F95" s="24"/>
    </row>
    <row r="96" spans="1:6" x14ac:dyDescent="0.25">
      <c r="A96" s="23"/>
      <c r="B96" s="31"/>
      <c r="C96" s="31"/>
      <c r="D96" s="21"/>
      <c r="E96" s="21"/>
      <c r="F96" s="24"/>
    </row>
    <row r="97" spans="1:6" x14ac:dyDescent="0.25">
      <c r="A97" s="23"/>
      <c r="B97" s="31"/>
      <c r="C97" s="31"/>
      <c r="D97" s="21"/>
      <c r="E97" s="21"/>
      <c r="F97" s="24"/>
    </row>
    <row r="98" spans="1:6" x14ac:dyDescent="0.25">
      <c r="A98" s="23"/>
      <c r="B98" s="31"/>
      <c r="C98" s="31"/>
      <c r="D98" s="21"/>
      <c r="E98" s="21"/>
      <c r="F98" s="24"/>
    </row>
    <row r="99" spans="1:6" x14ac:dyDescent="0.25">
      <c r="A99" s="23"/>
      <c r="B99" s="31"/>
      <c r="C99" s="31"/>
      <c r="D99" s="21"/>
      <c r="E99" s="21"/>
      <c r="F99" s="24"/>
    </row>
    <row r="100" spans="1:6" x14ac:dyDescent="0.25">
      <c r="A100" s="23"/>
      <c r="B100" s="31"/>
      <c r="C100" s="31"/>
      <c r="D100" s="21"/>
      <c r="E100" s="21"/>
      <c r="F100" s="24"/>
    </row>
    <row r="101" spans="1:6" x14ac:dyDescent="0.25">
      <c r="A101" s="23"/>
      <c r="B101" s="31"/>
      <c r="C101" s="31"/>
      <c r="D101" s="21"/>
      <c r="E101" s="21"/>
      <c r="F101" s="24"/>
    </row>
    <row r="102" spans="1:6" x14ac:dyDescent="0.25">
      <c r="A102" s="23"/>
      <c r="B102" s="31"/>
      <c r="C102" s="31"/>
      <c r="D102" s="21"/>
      <c r="E102" s="21"/>
      <c r="F102" s="24"/>
    </row>
    <row r="103" spans="1:6" x14ac:dyDescent="0.25">
      <c r="A103" s="23"/>
      <c r="B103" s="31"/>
      <c r="C103" s="31"/>
      <c r="D103" s="21"/>
      <c r="E103" s="21"/>
      <c r="F103" s="24"/>
    </row>
    <row r="104" spans="1:6" x14ac:dyDescent="0.25">
      <c r="A104" s="23"/>
      <c r="B104" s="31"/>
      <c r="C104" s="31"/>
      <c r="D104" s="21"/>
      <c r="E104" s="21"/>
      <c r="F104" s="24"/>
    </row>
    <row r="105" spans="1:6" x14ac:dyDescent="0.25">
      <c r="A105" s="23"/>
      <c r="B105" s="31"/>
      <c r="C105" s="31"/>
      <c r="D105" s="21"/>
      <c r="E105" s="21"/>
      <c r="F105" s="24"/>
    </row>
    <row r="106" spans="1:6" x14ac:dyDescent="0.25">
      <c r="A106" s="23"/>
      <c r="B106" s="31"/>
      <c r="C106" s="31"/>
      <c r="D106" s="21"/>
      <c r="E106" s="21"/>
      <c r="F106" s="24"/>
    </row>
    <row r="107" spans="1:6" x14ac:dyDescent="0.25">
      <c r="A107" s="23"/>
      <c r="B107" s="31"/>
      <c r="C107" s="31"/>
      <c r="D107" s="21"/>
      <c r="E107" s="21"/>
      <c r="F107" s="24"/>
    </row>
    <row r="108" spans="1:6" x14ac:dyDescent="0.25">
      <c r="A108" s="23"/>
      <c r="B108" s="31"/>
      <c r="C108" s="31"/>
      <c r="D108" s="21"/>
      <c r="E108" s="21"/>
      <c r="F108" s="24"/>
    </row>
    <row r="109" spans="1:6" x14ac:dyDescent="0.25">
      <c r="A109" s="23"/>
      <c r="B109" s="31"/>
      <c r="C109" s="31"/>
      <c r="D109" s="21"/>
      <c r="E109" s="21"/>
      <c r="F109" s="24"/>
    </row>
    <row r="110" spans="1:6" x14ac:dyDescent="0.25">
      <c r="A110" s="23"/>
      <c r="B110" s="31"/>
      <c r="C110" s="31"/>
      <c r="D110" s="21"/>
      <c r="E110" s="21"/>
      <c r="F110" s="24"/>
    </row>
    <row r="111" spans="1:6" x14ac:dyDescent="0.25">
      <c r="A111" s="23"/>
      <c r="B111" s="31"/>
      <c r="C111" s="31"/>
      <c r="D111" s="21"/>
      <c r="E111" s="21"/>
      <c r="F111" s="24"/>
    </row>
    <row r="112" spans="1:6" x14ac:dyDescent="0.25">
      <c r="A112" s="23"/>
      <c r="B112" s="31"/>
      <c r="C112" s="31"/>
      <c r="D112" s="21"/>
      <c r="E112" s="21"/>
      <c r="F112" s="24"/>
    </row>
    <row r="113" spans="1:6" x14ac:dyDescent="0.25">
      <c r="A113" s="23"/>
      <c r="B113" s="31"/>
      <c r="C113" s="31"/>
      <c r="D113" s="21"/>
      <c r="E113" s="21"/>
      <c r="F113" s="24"/>
    </row>
    <row r="114" spans="1:6" x14ac:dyDescent="0.25">
      <c r="A114" s="23"/>
      <c r="B114" s="31"/>
      <c r="C114" s="31"/>
      <c r="D114" s="21"/>
      <c r="E114" s="21"/>
      <c r="F114" s="24"/>
    </row>
    <row r="115" spans="1:6" x14ac:dyDescent="0.25">
      <c r="A115" s="23"/>
      <c r="B115" s="31"/>
      <c r="C115" s="31"/>
      <c r="D115" s="21"/>
      <c r="E115" s="21"/>
      <c r="F115" s="24"/>
    </row>
    <row r="116" spans="1:6" x14ac:dyDescent="0.25">
      <c r="A116" s="23"/>
      <c r="B116" s="31"/>
      <c r="C116" s="31"/>
      <c r="D116" s="21"/>
      <c r="E116" s="21"/>
      <c r="F116" s="24"/>
    </row>
    <row r="117" spans="1:6" x14ac:dyDescent="0.25">
      <c r="A117" s="23"/>
      <c r="B117" s="31"/>
      <c r="C117" s="31"/>
      <c r="D117" s="21"/>
      <c r="E117" s="21"/>
      <c r="F117" s="24"/>
    </row>
    <row r="118" spans="1:6" x14ac:dyDescent="0.25">
      <c r="A118" s="23"/>
      <c r="B118" s="31"/>
      <c r="C118" s="31"/>
      <c r="D118" s="21"/>
      <c r="E118" s="21"/>
      <c r="F118" s="24"/>
    </row>
    <row r="119" spans="1:6" x14ac:dyDescent="0.25">
      <c r="A119" s="23"/>
      <c r="B119" s="31"/>
      <c r="C119" s="31"/>
      <c r="D119" s="21"/>
      <c r="E119" s="21"/>
      <c r="F119" s="24"/>
    </row>
    <row r="120" spans="1:6" x14ac:dyDescent="0.25">
      <c r="A120" s="23"/>
      <c r="B120" s="31"/>
      <c r="C120" s="31"/>
      <c r="D120" s="21"/>
      <c r="E120" s="21"/>
      <c r="F120" s="24"/>
    </row>
    <row r="121" spans="1:6" x14ac:dyDescent="0.25">
      <c r="A121" s="23"/>
      <c r="B121" s="31"/>
      <c r="C121" s="31"/>
      <c r="D121" s="21"/>
      <c r="E121" s="21"/>
      <c r="F121" s="24"/>
    </row>
    <row r="122" spans="1:6" x14ac:dyDescent="0.25">
      <c r="A122" s="23"/>
      <c r="B122" s="31"/>
      <c r="C122" s="31"/>
      <c r="D122" s="21"/>
      <c r="E122" s="21"/>
      <c r="F122" s="24"/>
    </row>
    <row r="123" spans="1:6" x14ac:dyDescent="0.25">
      <c r="A123" s="23"/>
      <c r="B123" s="31"/>
      <c r="C123" s="31"/>
      <c r="D123" s="21"/>
      <c r="E123" s="21"/>
      <c r="F123" s="24"/>
    </row>
    <row r="124" spans="1:6" x14ac:dyDescent="0.25">
      <c r="A124" s="23"/>
      <c r="B124" s="31"/>
      <c r="C124" s="31"/>
      <c r="D124" s="21"/>
      <c r="E124" s="21"/>
      <c r="F124" s="24"/>
    </row>
    <row r="125" spans="1:6" x14ac:dyDescent="0.25">
      <c r="A125" s="23"/>
      <c r="B125" s="31"/>
      <c r="C125" s="31"/>
      <c r="D125" s="21"/>
      <c r="E125" s="21"/>
      <c r="F125" s="24"/>
    </row>
    <row r="126" spans="1:6" x14ac:dyDescent="0.25">
      <c r="A126" s="23"/>
      <c r="B126" s="31"/>
      <c r="C126" s="31"/>
      <c r="D126" s="21"/>
      <c r="E126" s="21"/>
      <c r="F126" s="24"/>
    </row>
    <row r="127" spans="1:6" x14ac:dyDescent="0.25">
      <c r="A127" s="23"/>
      <c r="B127" s="31"/>
      <c r="C127" s="31"/>
      <c r="D127" s="21"/>
      <c r="E127" s="21"/>
      <c r="F127" s="24"/>
    </row>
    <row r="128" spans="1:6" x14ac:dyDescent="0.25">
      <c r="A128" s="23"/>
      <c r="B128" s="31"/>
      <c r="C128" s="31"/>
      <c r="D128" s="21"/>
      <c r="E128" s="21"/>
      <c r="F128" s="24"/>
    </row>
    <row r="129" spans="1:6" x14ac:dyDescent="0.25">
      <c r="A129" s="23"/>
      <c r="B129" s="31"/>
      <c r="C129" s="31"/>
      <c r="D129" s="21"/>
      <c r="E129" s="21"/>
      <c r="F129" s="24"/>
    </row>
    <row r="130" spans="1:6" x14ac:dyDescent="0.25">
      <c r="A130" s="23"/>
      <c r="B130" s="31"/>
      <c r="C130" s="31"/>
      <c r="D130" s="21"/>
      <c r="E130" s="21"/>
      <c r="F130" s="24"/>
    </row>
    <row r="131" spans="1:6" x14ac:dyDescent="0.25">
      <c r="A131" s="23"/>
      <c r="B131" s="31"/>
      <c r="C131" s="31"/>
      <c r="D131" s="21"/>
      <c r="E131" s="21"/>
      <c r="F131" s="24"/>
    </row>
    <row r="132" spans="1:6" x14ac:dyDescent="0.25">
      <c r="A132" s="23"/>
      <c r="B132" s="31"/>
      <c r="C132" s="31"/>
      <c r="D132" s="21"/>
      <c r="E132" s="21"/>
      <c r="F132" s="24"/>
    </row>
    <row r="133" spans="1:6" x14ac:dyDescent="0.25">
      <c r="A133" s="23"/>
      <c r="B133" s="31"/>
      <c r="C133" s="31"/>
      <c r="D133" s="21"/>
      <c r="E133" s="21"/>
      <c r="F133" s="24"/>
    </row>
    <row r="134" spans="1:6" x14ac:dyDescent="0.25">
      <c r="A134" s="23"/>
      <c r="B134" s="31"/>
      <c r="C134" s="31"/>
      <c r="D134" s="21"/>
      <c r="E134" s="21"/>
      <c r="F134" s="24"/>
    </row>
    <row r="135" spans="1:6" x14ac:dyDescent="0.25">
      <c r="A135" s="23"/>
      <c r="B135" s="31"/>
      <c r="C135" s="31"/>
      <c r="D135" s="21"/>
      <c r="E135" s="21"/>
      <c r="F135" s="24"/>
    </row>
    <row r="136" spans="1:6" x14ac:dyDescent="0.25">
      <c r="A136" s="23"/>
      <c r="B136" s="31"/>
      <c r="C136" s="31"/>
      <c r="D136" s="21"/>
      <c r="E136" s="21"/>
      <c r="F136" s="24"/>
    </row>
    <row r="137" spans="1:6" x14ac:dyDescent="0.25">
      <c r="A137" s="23"/>
      <c r="B137" s="31"/>
      <c r="C137" s="31"/>
      <c r="D137" s="21"/>
      <c r="E137" s="21"/>
      <c r="F137" s="24"/>
    </row>
    <row r="138" spans="1:6" x14ac:dyDescent="0.25">
      <c r="A138" s="23"/>
      <c r="B138" s="31"/>
      <c r="C138" s="31"/>
      <c r="D138" s="21"/>
      <c r="E138" s="21"/>
      <c r="F138" s="24"/>
    </row>
    <row r="139" spans="1:6" x14ac:dyDescent="0.25">
      <c r="A139" s="23"/>
      <c r="B139" s="31"/>
      <c r="C139" s="31"/>
      <c r="D139" s="21"/>
      <c r="E139" s="21"/>
      <c r="F139" s="24"/>
    </row>
    <row r="140" spans="1:6" x14ac:dyDescent="0.25">
      <c r="A140" s="23"/>
      <c r="B140" s="31"/>
      <c r="C140" s="31"/>
      <c r="D140" s="21"/>
      <c r="E140" s="21"/>
      <c r="F140" s="24"/>
    </row>
    <row r="141" spans="1:6" x14ac:dyDescent="0.25">
      <c r="A141" s="23"/>
      <c r="B141" s="31"/>
      <c r="C141" s="31"/>
      <c r="D141" s="21"/>
      <c r="E141" s="21"/>
      <c r="F141" s="24"/>
    </row>
  </sheetData>
  <mergeCells count="112">
    <mergeCell ref="B140:C140"/>
    <mergeCell ref="B141:C141"/>
    <mergeCell ref="B135:C135"/>
    <mergeCell ref="B136:C136"/>
    <mergeCell ref="B137:C137"/>
    <mergeCell ref="B138:C138"/>
    <mergeCell ref="B139:C139"/>
    <mergeCell ref="B130:C130"/>
    <mergeCell ref="B131:C131"/>
    <mergeCell ref="B132:C132"/>
    <mergeCell ref="B133:C133"/>
    <mergeCell ref="B134:C134"/>
    <mergeCell ref="B125:C125"/>
    <mergeCell ref="B126:C126"/>
    <mergeCell ref="B127:C127"/>
    <mergeCell ref="B128:C128"/>
    <mergeCell ref="B129:C129"/>
    <mergeCell ref="B120:C120"/>
    <mergeCell ref="B121:C121"/>
    <mergeCell ref="B122:C122"/>
    <mergeCell ref="B123:C123"/>
    <mergeCell ref="B124:C124"/>
    <mergeCell ref="B115:C115"/>
    <mergeCell ref="B116:C116"/>
    <mergeCell ref="B117:C117"/>
    <mergeCell ref="B118:C118"/>
    <mergeCell ref="B119:C119"/>
    <mergeCell ref="B110:C110"/>
    <mergeCell ref="B111:C111"/>
    <mergeCell ref="B112:C112"/>
    <mergeCell ref="B113:C113"/>
    <mergeCell ref="B114:C114"/>
    <mergeCell ref="B105:C105"/>
    <mergeCell ref="B106:C106"/>
    <mergeCell ref="B107:C107"/>
    <mergeCell ref="B108:C108"/>
    <mergeCell ref="B109:C109"/>
    <mergeCell ref="B100:C100"/>
    <mergeCell ref="B101:C101"/>
    <mergeCell ref="B102:C102"/>
    <mergeCell ref="B103:C103"/>
    <mergeCell ref="B104:C104"/>
    <mergeCell ref="B95:C95"/>
    <mergeCell ref="B96:C96"/>
    <mergeCell ref="B97:C97"/>
    <mergeCell ref="B98:C98"/>
    <mergeCell ref="B99:C99"/>
    <mergeCell ref="B90:C90"/>
    <mergeCell ref="B91:C91"/>
    <mergeCell ref="B92:C92"/>
    <mergeCell ref="B93:C93"/>
    <mergeCell ref="B94:C94"/>
    <mergeCell ref="B85:C85"/>
    <mergeCell ref="B86:C86"/>
    <mergeCell ref="B87:C87"/>
    <mergeCell ref="B88:C88"/>
    <mergeCell ref="B89:C89"/>
    <mergeCell ref="B80:C80"/>
    <mergeCell ref="B81:C81"/>
    <mergeCell ref="B82:C82"/>
    <mergeCell ref="B83:C83"/>
    <mergeCell ref="B84:C84"/>
    <mergeCell ref="B75:C75"/>
    <mergeCell ref="B76:C76"/>
    <mergeCell ref="B77:C77"/>
    <mergeCell ref="B78:C78"/>
    <mergeCell ref="B79:C79"/>
    <mergeCell ref="B70:C70"/>
    <mergeCell ref="B71:C71"/>
    <mergeCell ref="B72:C72"/>
    <mergeCell ref="B73:C73"/>
    <mergeCell ref="B74:C74"/>
    <mergeCell ref="B65:C65"/>
    <mergeCell ref="B66:C66"/>
    <mergeCell ref="B67:C67"/>
    <mergeCell ref="B68:C68"/>
    <mergeCell ref="B69:C69"/>
    <mergeCell ref="B60:C60"/>
    <mergeCell ref="B61:C61"/>
    <mergeCell ref="B62:C62"/>
    <mergeCell ref="B63:C63"/>
    <mergeCell ref="B64:C64"/>
    <mergeCell ref="B55:C55"/>
    <mergeCell ref="B56:C56"/>
    <mergeCell ref="B57:C57"/>
    <mergeCell ref="B58:C58"/>
    <mergeCell ref="B59:C59"/>
    <mergeCell ref="B50:C50"/>
    <mergeCell ref="B51:C51"/>
    <mergeCell ref="B52:C52"/>
    <mergeCell ref="B53:C53"/>
    <mergeCell ref="B54:C54"/>
    <mergeCell ref="B45:C45"/>
    <mergeCell ref="B46:C46"/>
    <mergeCell ref="B47:C47"/>
    <mergeCell ref="B48:C48"/>
    <mergeCell ref="B49:C49"/>
    <mergeCell ref="B40:C40"/>
    <mergeCell ref="B41:C41"/>
    <mergeCell ref="B42:C42"/>
    <mergeCell ref="B43:C43"/>
    <mergeCell ref="B44:C44"/>
    <mergeCell ref="B35:C35"/>
    <mergeCell ref="B36:C36"/>
    <mergeCell ref="B37:C37"/>
    <mergeCell ref="B38:C38"/>
    <mergeCell ref="B39:C39"/>
    <mergeCell ref="B34:C34"/>
    <mergeCell ref="B33:C33"/>
    <mergeCell ref="A11:B11"/>
    <mergeCell ref="B31:C31"/>
    <mergeCell ref="B32:C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739A8-E721-41A4-B437-5313D01B9D93}">
  <dimension ref="A1:F80"/>
  <sheetViews>
    <sheetView workbookViewId="0">
      <selection activeCell="C2" sqref="C2:C49"/>
    </sheetView>
  </sheetViews>
  <sheetFormatPr defaultRowHeight="15" x14ac:dyDescent="0.25"/>
  <cols>
    <col min="1" max="1" width="10.7109375" customWidth="1"/>
    <col min="2" max="2" width="12.140625" customWidth="1"/>
    <col min="3" max="3" width="14" customWidth="1"/>
    <col min="4" max="5" width="15.85546875" customWidth="1"/>
    <col min="6" max="6" width="10.42578125" customWidth="1"/>
  </cols>
  <sheetData>
    <row r="1" spans="1:4" x14ac:dyDescent="0.25">
      <c r="A1" s="2" t="s">
        <v>37</v>
      </c>
      <c r="B1" s="2" t="s">
        <v>38</v>
      </c>
      <c r="C1" s="1" t="s">
        <v>11</v>
      </c>
      <c r="D1" s="1" t="s">
        <v>10</v>
      </c>
    </row>
    <row r="2" spans="1:4" x14ac:dyDescent="0.25">
      <c r="A2" t="s">
        <v>0</v>
      </c>
      <c r="B2" s="4">
        <v>8.27</v>
      </c>
      <c r="C2" s="3">
        <v>1.0582010582010499</v>
      </c>
      <c r="D2" s="7">
        <f>B2*C2/100</f>
        <v>8.7513227513226821E-2</v>
      </c>
    </row>
    <row r="3" spans="1:4" x14ac:dyDescent="0.25">
      <c r="A3" t="s">
        <v>1</v>
      </c>
      <c r="B3" s="4">
        <v>8.11</v>
      </c>
      <c r="C3" s="3">
        <v>-1.1235955056179701</v>
      </c>
      <c r="D3" s="7">
        <f t="shared" ref="D3:D49" si="0">B3*C3/100</f>
        <v>-9.1123595505617369E-2</v>
      </c>
    </row>
    <row r="4" spans="1:4" x14ac:dyDescent="0.25">
      <c r="A4" t="s">
        <v>2</v>
      </c>
      <c r="B4" s="4">
        <v>6.92</v>
      </c>
      <c r="C4" s="3">
        <v>0.168350168350168</v>
      </c>
      <c r="D4" s="7">
        <f t="shared" si="0"/>
        <v>1.1649831649831625E-2</v>
      </c>
    </row>
    <row r="5" spans="1:4" x14ac:dyDescent="0.25">
      <c r="A5" t="s">
        <v>3</v>
      </c>
      <c r="B5" s="4">
        <v>6.9</v>
      </c>
      <c r="C5" s="3">
        <v>0.65359477124182996</v>
      </c>
      <c r="D5" s="7">
        <f t="shared" si="0"/>
        <v>4.5098039215686274E-2</v>
      </c>
    </row>
    <row r="6" spans="1:4" x14ac:dyDescent="0.25">
      <c r="A6" t="s">
        <v>85</v>
      </c>
      <c r="B6" s="4">
        <v>5.76</v>
      </c>
      <c r="C6" s="3">
        <v>3.8083538083538002</v>
      </c>
      <c r="D6" s="7">
        <f t="shared" si="0"/>
        <v>0.21936117936117888</v>
      </c>
    </row>
    <row r="7" spans="1:4" x14ac:dyDescent="0.25">
      <c r="A7" t="s">
        <v>43</v>
      </c>
      <c r="B7" s="4">
        <v>4.5599999999999996</v>
      </c>
      <c r="C7" s="3">
        <v>1.82555780933062</v>
      </c>
      <c r="D7" s="7">
        <f t="shared" si="0"/>
        <v>8.3245436105476273E-2</v>
      </c>
    </row>
    <row r="8" spans="1:4" x14ac:dyDescent="0.25">
      <c r="A8" t="s">
        <v>55</v>
      </c>
      <c r="B8" s="26">
        <v>4.28</v>
      </c>
      <c r="C8" s="27">
        <v>5.7096247960848201</v>
      </c>
      <c r="D8" s="7">
        <f t="shared" si="0"/>
        <v>0.24437194127243031</v>
      </c>
    </row>
    <row r="9" spans="1:4" x14ac:dyDescent="0.25">
      <c r="A9" t="s">
        <v>6</v>
      </c>
      <c r="B9" s="4">
        <v>4.21</v>
      </c>
      <c r="C9" s="3">
        <v>0.65264684554024599</v>
      </c>
      <c r="D9" s="7">
        <f t="shared" si="0"/>
        <v>2.7476432197244355E-2</v>
      </c>
    </row>
    <row r="10" spans="1:4" x14ac:dyDescent="0.25">
      <c r="A10" t="s">
        <v>5</v>
      </c>
      <c r="B10" s="4">
        <v>4.08</v>
      </c>
      <c r="C10" s="3">
        <v>0.48971596474044998</v>
      </c>
      <c r="D10" s="7">
        <f t="shared" si="0"/>
        <v>1.998041136141036E-2</v>
      </c>
    </row>
    <row r="11" spans="1:4" x14ac:dyDescent="0.25">
      <c r="A11" t="s">
        <v>44</v>
      </c>
      <c r="B11" s="4">
        <v>2.88</v>
      </c>
      <c r="C11" s="3">
        <v>4.0148239654107396</v>
      </c>
      <c r="D11" s="7">
        <f t="shared" si="0"/>
        <v>0.1156269302038293</v>
      </c>
    </row>
    <row r="12" spans="1:4" x14ac:dyDescent="0.25">
      <c r="A12" t="s">
        <v>4</v>
      </c>
      <c r="B12" s="4">
        <v>2.62</v>
      </c>
      <c r="C12" s="28">
        <v>3.91705069124423</v>
      </c>
      <c r="D12" s="7">
        <f t="shared" si="0"/>
        <v>0.10262672811059882</v>
      </c>
    </row>
    <row r="13" spans="1:4" x14ac:dyDescent="0.25">
      <c r="A13" t="s">
        <v>7</v>
      </c>
      <c r="B13" s="26">
        <v>2.4900000000000002</v>
      </c>
      <c r="C13" s="3">
        <v>0.11764705882352899</v>
      </c>
      <c r="D13" s="7">
        <f t="shared" si="0"/>
        <v>2.9294117647058722E-3</v>
      </c>
    </row>
    <row r="14" spans="1:4" x14ac:dyDescent="0.25">
      <c r="A14" t="s">
        <v>94</v>
      </c>
      <c r="B14" s="26">
        <v>2.4</v>
      </c>
      <c r="C14" s="3">
        <v>-2.6315789473684199</v>
      </c>
      <c r="D14" s="7">
        <f t="shared" si="0"/>
        <v>-6.315789473684208E-2</v>
      </c>
    </row>
    <row r="15" spans="1:4" x14ac:dyDescent="0.25">
      <c r="A15" t="s">
        <v>21</v>
      </c>
      <c r="B15" s="26">
        <v>1.77</v>
      </c>
      <c r="C15" s="27">
        <v>0.969932104752667</v>
      </c>
      <c r="D15" s="7">
        <f t="shared" si="0"/>
        <v>1.7167798254122207E-2</v>
      </c>
    </row>
    <row r="16" spans="1:4" x14ac:dyDescent="0.25">
      <c r="A16" t="s">
        <v>95</v>
      </c>
      <c r="B16" s="4">
        <v>1.76</v>
      </c>
      <c r="C16" s="3">
        <v>-0.84033613445378097</v>
      </c>
      <c r="D16" s="7">
        <f t="shared" si="0"/>
        <v>-1.4789915966386544E-2</v>
      </c>
    </row>
    <row r="17" spans="1:4" x14ac:dyDescent="0.25">
      <c r="A17" t="s">
        <v>52</v>
      </c>
      <c r="B17" s="4">
        <v>1.61</v>
      </c>
      <c r="C17" s="3">
        <v>-2.24895397489539</v>
      </c>
      <c r="D17" s="7">
        <f t="shared" si="0"/>
        <v>-3.6208158995815781E-2</v>
      </c>
    </row>
    <row r="18" spans="1:4" x14ac:dyDescent="0.25">
      <c r="A18" t="s">
        <v>16</v>
      </c>
      <c r="B18" s="4">
        <v>1.58</v>
      </c>
      <c r="C18" s="3">
        <v>-0.89285714285714202</v>
      </c>
      <c r="D18" s="7">
        <f t="shared" si="0"/>
        <v>-1.4107142857142844E-2</v>
      </c>
    </row>
    <row r="19" spans="1:4" x14ac:dyDescent="0.25">
      <c r="A19" t="s">
        <v>31</v>
      </c>
      <c r="B19" s="4">
        <v>1.54</v>
      </c>
      <c r="C19" s="3">
        <v>-0.32851511169513797</v>
      </c>
      <c r="D19" s="7">
        <f t="shared" si="0"/>
        <v>-5.0591327201051249E-3</v>
      </c>
    </row>
    <row r="20" spans="1:4" x14ac:dyDescent="0.25">
      <c r="A20" t="s">
        <v>57</v>
      </c>
      <c r="B20" s="4">
        <v>1.1000000000000001</v>
      </c>
      <c r="C20" s="3">
        <v>0.415584415584415</v>
      </c>
      <c r="D20" s="7">
        <f t="shared" si="0"/>
        <v>4.5714285714285648E-3</v>
      </c>
    </row>
    <row r="21" spans="1:4" x14ac:dyDescent="0.25">
      <c r="A21" t="s">
        <v>23</v>
      </c>
      <c r="B21" s="4">
        <v>1.06</v>
      </c>
      <c r="C21" s="3">
        <v>0.67567567567567499</v>
      </c>
      <c r="D21" s="7">
        <f t="shared" si="0"/>
        <v>7.1621621621621558E-3</v>
      </c>
    </row>
    <row r="22" spans="1:4" x14ac:dyDescent="0.25">
      <c r="A22" t="s">
        <v>24</v>
      </c>
      <c r="B22" s="4">
        <v>0.99</v>
      </c>
      <c r="C22" s="3">
        <v>2.3715415019762802</v>
      </c>
      <c r="D22" s="7">
        <f t="shared" si="0"/>
        <v>2.3478260869565174E-2</v>
      </c>
    </row>
    <row r="23" spans="1:4" x14ac:dyDescent="0.25">
      <c r="A23" t="s">
        <v>58</v>
      </c>
      <c r="B23" s="26">
        <v>0.98</v>
      </c>
      <c r="C23" s="27">
        <v>0.73956682514527206</v>
      </c>
      <c r="D23" s="7">
        <f t="shared" si="0"/>
        <v>7.2477548864236666E-3</v>
      </c>
    </row>
    <row r="24" spans="1:4" x14ac:dyDescent="0.25">
      <c r="A24" t="s">
        <v>26</v>
      </c>
      <c r="B24" s="26">
        <v>0.98</v>
      </c>
      <c r="C24" s="27">
        <v>-0.46480743691899001</v>
      </c>
      <c r="D24" s="7">
        <f t="shared" si="0"/>
        <v>-4.5551128818061021E-3</v>
      </c>
    </row>
    <row r="25" spans="1:4" x14ac:dyDescent="0.25">
      <c r="A25" t="s">
        <v>25</v>
      </c>
      <c r="B25" s="26">
        <v>0.88</v>
      </c>
      <c r="C25" s="27">
        <v>0.159872102318145</v>
      </c>
      <c r="D25" s="7">
        <f t="shared" si="0"/>
        <v>1.4068745003996761E-3</v>
      </c>
    </row>
    <row r="26" spans="1:4" x14ac:dyDescent="0.25">
      <c r="A26" t="s">
        <v>59</v>
      </c>
      <c r="B26" s="26">
        <v>0.87</v>
      </c>
      <c r="C26" s="27">
        <v>3.0681818181818099</v>
      </c>
      <c r="D26" s="7">
        <f t="shared" si="0"/>
        <v>2.6693181818181748E-2</v>
      </c>
    </row>
    <row r="27" spans="1:4" x14ac:dyDescent="0.25">
      <c r="A27" t="s">
        <v>19</v>
      </c>
      <c r="B27" s="26">
        <v>0.8</v>
      </c>
      <c r="C27" s="27">
        <v>-0.362056480811006</v>
      </c>
      <c r="D27" s="7">
        <f t="shared" si="0"/>
        <v>-2.896451846488048E-3</v>
      </c>
    </row>
    <row r="28" spans="1:4" x14ac:dyDescent="0.25">
      <c r="A28" t="s">
        <v>60</v>
      </c>
      <c r="B28" s="26">
        <v>0.75</v>
      </c>
      <c r="C28" s="27">
        <v>-1.3279445727482599</v>
      </c>
      <c r="D28" s="7">
        <f t="shared" si="0"/>
        <v>-9.9595842956119503E-3</v>
      </c>
    </row>
    <row r="29" spans="1:4" x14ac:dyDescent="0.25">
      <c r="A29" t="s">
        <v>56</v>
      </c>
      <c r="B29" s="26">
        <v>0.59</v>
      </c>
      <c r="C29" s="27">
        <v>9.9460754943079692</v>
      </c>
      <c r="D29" s="7">
        <f t="shared" si="0"/>
        <v>5.8681845416417015E-2</v>
      </c>
    </row>
    <row r="30" spans="1:4" x14ac:dyDescent="0.25">
      <c r="A30" t="s">
        <v>50</v>
      </c>
      <c r="B30" s="26">
        <v>0.55000000000000004</v>
      </c>
      <c r="C30" s="27">
        <v>-0.98654708520179302</v>
      </c>
      <c r="D30" s="7">
        <f t="shared" si="0"/>
        <v>-5.426008968609862E-3</v>
      </c>
    </row>
    <row r="31" spans="1:4" x14ac:dyDescent="0.25">
      <c r="A31" t="s">
        <v>64</v>
      </c>
      <c r="B31" s="26">
        <v>0.52</v>
      </c>
      <c r="C31" s="27">
        <v>-0.24125452352231599</v>
      </c>
      <c r="D31" s="7">
        <f t="shared" si="0"/>
        <v>-1.2545235223160431E-3</v>
      </c>
    </row>
    <row r="32" spans="1:4" x14ac:dyDescent="0.25">
      <c r="A32" t="s">
        <v>28</v>
      </c>
      <c r="B32" s="26">
        <v>0.5</v>
      </c>
      <c r="C32" s="27">
        <v>1.0802469135802399</v>
      </c>
      <c r="D32" s="7">
        <f t="shared" si="0"/>
        <v>5.4012345679011996E-3</v>
      </c>
    </row>
    <row r="33" spans="1:4" x14ac:dyDescent="0.25">
      <c r="A33" t="s">
        <v>62</v>
      </c>
      <c r="B33" s="26">
        <v>0.48</v>
      </c>
      <c r="C33" s="27">
        <v>1.8607123870281701</v>
      </c>
      <c r="D33" s="7">
        <f t="shared" si="0"/>
        <v>8.9314194577352155E-3</v>
      </c>
    </row>
    <row r="34" spans="1:4" x14ac:dyDescent="0.25">
      <c r="A34" t="s">
        <v>22</v>
      </c>
      <c r="B34" s="26">
        <v>0.47</v>
      </c>
      <c r="C34" s="27">
        <v>0.54347826086956497</v>
      </c>
      <c r="D34" s="7">
        <f t="shared" si="0"/>
        <v>2.5543478260869551E-3</v>
      </c>
    </row>
    <row r="35" spans="1:4" x14ac:dyDescent="0.25">
      <c r="A35" t="s">
        <v>65</v>
      </c>
      <c r="B35" s="26">
        <v>0.46</v>
      </c>
      <c r="C35" s="27">
        <v>-3.23719835197174</v>
      </c>
      <c r="D35" s="7">
        <f t="shared" si="0"/>
        <v>-1.4891112419070006E-2</v>
      </c>
    </row>
    <row r="36" spans="1:4" x14ac:dyDescent="0.25">
      <c r="A36" t="s">
        <v>66</v>
      </c>
      <c r="B36" s="26">
        <v>0.46</v>
      </c>
      <c r="C36" s="27">
        <v>0.87804878048780399</v>
      </c>
      <c r="D36" s="7">
        <f t="shared" si="0"/>
        <v>4.0390243902438984E-3</v>
      </c>
    </row>
    <row r="37" spans="1:4" x14ac:dyDescent="0.25">
      <c r="A37" t="s">
        <v>67</v>
      </c>
      <c r="B37" s="26">
        <v>0.45</v>
      </c>
      <c r="C37" s="27">
        <v>-2.44360902255639</v>
      </c>
      <c r="D37" s="7">
        <f t="shared" si="0"/>
        <v>-1.0996240601503756E-2</v>
      </c>
    </row>
    <row r="38" spans="1:4" x14ac:dyDescent="0.25">
      <c r="A38" t="s">
        <v>68</v>
      </c>
      <c r="B38" s="26">
        <v>0.4</v>
      </c>
      <c r="C38" s="27">
        <v>-0.75282308657465402</v>
      </c>
      <c r="D38" s="7">
        <f t="shared" si="0"/>
        <v>-3.0112923462986161E-3</v>
      </c>
    </row>
    <row r="39" spans="1:4" x14ac:dyDescent="0.25">
      <c r="A39" t="s">
        <v>69</v>
      </c>
      <c r="B39" s="26">
        <v>0.39</v>
      </c>
      <c r="C39" s="27">
        <v>-1.39318885448916</v>
      </c>
      <c r="D39" s="7">
        <f t="shared" si="0"/>
        <v>-5.4334365325077235E-3</v>
      </c>
    </row>
    <row r="40" spans="1:4" x14ac:dyDescent="0.25">
      <c r="A40" t="s">
        <v>71</v>
      </c>
      <c r="B40" s="26">
        <v>0.34</v>
      </c>
      <c r="C40" s="27">
        <v>-2.0846493998736499</v>
      </c>
      <c r="D40" s="7">
        <f t="shared" si="0"/>
        <v>-7.0878079595704099E-3</v>
      </c>
    </row>
    <row r="41" spans="1:4" x14ac:dyDescent="0.25">
      <c r="A41" t="s">
        <v>96</v>
      </c>
      <c r="B41" s="26">
        <v>0.3</v>
      </c>
      <c r="C41" s="27">
        <v>-2.5641025641025599</v>
      </c>
      <c r="D41" s="7">
        <f t="shared" si="0"/>
        <v>-7.6923076923076797E-3</v>
      </c>
    </row>
    <row r="42" spans="1:4" x14ac:dyDescent="0.25">
      <c r="A42" t="s">
        <v>70</v>
      </c>
      <c r="B42" s="26">
        <v>0.25</v>
      </c>
      <c r="C42" s="27">
        <v>10</v>
      </c>
      <c r="D42" s="7">
        <f t="shared" si="0"/>
        <v>2.5000000000000001E-2</v>
      </c>
    </row>
    <row r="43" spans="1:4" x14ac:dyDescent="0.25">
      <c r="A43" t="s">
        <v>9</v>
      </c>
      <c r="B43" s="26">
        <v>0.25</v>
      </c>
      <c r="C43" s="27">
        <v>-9.9715099715099704</v>
      </c>
      <c r="D43" s="7">
        <f t="shared" si="0"/>
        <v>-2.4928774928774926E-2</v>
      </c>
    </row>
    <row r="44" spans="1:4" x14ac:dyDescent="0.25">
      <c r="A44" t="s">
        <v>97</v>
      </c>
      <c r="B44" s="26">
        <v>0.22</v>
      </c>
      <c r="C44" s="27">
        <v>-1.8359853121175</v>
      </c>
      <c r="D44" s="7">
        <f t="shared" si="0"/>
        <v>-4.0391676866585007E-3</v>
      </c>
    </row>
    <row r="45" spans="1:4" x14ac:dyDescent="0.25">
      <c r="A45" t="s">
        <v>98</v>
      </c>
      <c r="B45" s="26">
        <v>0.19</v>
      </c>
      <c r="C45" s="27">
        <v>9.9865047233468296</v>
      </c>
      <c r="D45" s="7">
        <f t="shared" si="0"/>
        <v>1.8974358974358976E-2</v>
      </c>
    </row>
    <row r="46" spans="1:4" x14ac:dyDescent="0.25">
      <c r="A46" t="s">
        <v>75</v>
      </c>
      <c r="B46" s="26">
        <v>0.08</v>
      </c>
      <c r="C46" s="27">
        <v>1.5926236378876699</v>
      </c>
      <c r="D46" s="7">
        <f t="shared" si="0"/>
        <v>1.2740989103101361E-3</v>
      </c>
    </row>
    <row r="47" spans="1:4" x14ac:dyDescent="0.25">
      <c r="A47" t="s">
        <v>63</v>
      </c>
      <c r="B47" s="26">
        <v>0.01</v>
      </c>
      <c r="C47" s="27">
        <v>-0.46339202965708898</v>
      </c>
      <c r="D47" s="7">
        <f t="shared" si="0"/>
        <v>-4.6339202965708901E-5</v>
      </c>
    </row>
    <row r="48" spans="1:4" x14ac:dyDescent="0.25">
      <c r="A48" t="s">
        <v>99</v>
      </c>
      <c r="B48" s="26">
        <v>3.34</v>
      </c>
      <c r="C48" s="27">
        <v>0.12</v>
      </c>
      <c r="D48" s="7">
        <f t="shared" si="0"/>
        <v>4.0080000000000003E-3</v>
      </c>
    </row>
    <row r="49" spans="1:6" x14ac:dyDescent="0.25">
      <c r="A49" t="s">
        <v>100</v>
      </c>
      <c r="B49" s="26">
        <v>2.5499999999999998</v>
      </c>
      <c r="C49" s="27">
        <v>0.12</v>
      </c>
      <c r="D49" s="7">
        <f t="shared" si="0"/>
        <v>3.0599999999999998E-3</v>
      </c>
    </row>
    <row r="50" spans="1:6" x14ac:dyDescent="0.25">
      <c r="A50" s="30" t="s">
        <v>53</v>
      </c>
      <c r="B50" s="5">
        <f>SUM(B2:B49)</f>
        <v>92.95</v>
      </c>
      <c r="C50" s="5"/>
      <c r="D50" s="6">
        <f>SUM(D2:D49)</f>
        <v>0.85286735769455646</v>
      </c>
    </row>
    <row r="51" spans="1:6" x14ac:dyDescent="0.25">
      <c r="A51" s="16"/>
      <c r="B51" s="5"/>
      <c r="C51" s="5"/>
      <c r="D51" s="6"/>
    </row>
    <row r="62" spans="1:6" x14ac:dyDescent="0.25">
      <c r="A62" s="5"/>
      <c r="B62" s="32"/>
      <c r="C62" s="32"/>
      <c r="D62" s="20"/>
      <c r="E62" s="5"/>
      <c r="F62" s="5"/>
    </row>
    <row r="63" spans="1:6" x14ac:dyDescent="0.25">
      <c r="A63" s="23"/>
      <c r="B63" s="31"/>
      <c r="C63" s="31"/>
      <c r="D63" s="21"/>
      <c r="E63" s="21"/>
      <c r="F63" s="24"/>
    </row>
    <row r="64" spans="1:6" x14ac:dyDescent="0.25">
      <c r="A64" s="23"/>
      <c r="B64" s="31"/>
      <c r="C64" s="31"/>
      <c r="D64" s="21"/>
      <c r="E64" s="21"/>
      <c r="F64" s="24"/>
    </row>
    <row r="65" spans="1:6" x14ac:dyDescent="0.25">
      <c r="A65" s="23"/>
      <c r="B65" s="31"/>
      <c r="C65" s="31"/>
      <c r="D65" s="21"/>
      <c r="E65" s="21"/>
      <c r="F65" s="24"/>
    </row>
    <row r="66" spans="1:6" x14ac:dyDescent="0.25">
      <c r="A66" s="23"/>
      <c r="B66" s="31"/>
      <c r="C66" s="31"/>
      <c r="D66" s="21"/>
      <c r="E66" s="21"/>
      <c r="F66" s="24"/>
    </row>
    <row r="67" spans="1:6" x14ac:dyDescent="0.25">
      <c r="A67" s="23"/>
      <c r="B67" s="31"/>
      <c r="C67" s="31"/>
      <c r="D67" s="21"/>
      <c r="E67" s="21"/>
      <c r="F67" s="24"/>
    </row>
    <row r="68" spans="1:6" x14ac:dyDescent="0.25">
      <c r="A68" s="23"/>
      <c r="B68" s="31"/>
      <c r="C68" s="31"/>
      <c r="D68" s="21"/>
      <c r="E68" s="21"/>
      <c r="F68" s="24"/>
    </row>
    <row r="69" spans="1:6" x14ac:dyDescent="0.25">
      <c r="A69" s="23"/>
      <c r="B69" s="31"/>
      <c r="C69" s="31"/>
      <c r="D69" s="21"/>
      <c r="E69" s="21"/>
      <c r="F69" s="24"/>
    </row>
    <row r="70" spans="1:6" x14ac:dyDescent="0.25">
      <c r="A70" s="23"/>
      <c r="B70" s="31"/>
      <c r="C70" s="31"/>
      <c r="D70" s="21"/>
      <c r="E70" s="21"/>
      <c r="F70" s="24"/>
    </row>
    <row r="71" spans="1:6" x14ac:dyDescent="0.25">
      <c r="A71" s="23"/>
      <c r="B71" s="31"/>
      <c r="C71" s="31"/>
      <c r="D71" s="21"/>
      <c r="E71" s="21"/>
      <c r="F71" s="24"/>
    </row>
    <row r="72" spans="1:6" x14ac:dyDescent="0.25">
      <c r="A72" s="23"/>
      <c r="B72" s="31"/>
      <c r="C72" s="31"/>
      <c r="D72" s="21"/>
      <c r="E72" s="21"/>
      <c r="F72" s="24"/>
    </row>
    <row r="73" spans="1:6" x14ac:dyDescent="0.25">
      <c r="A73" s="23"/>
      <c r="B73" s="31"/>
      <c r="C73" s="31"/>
      <c r="D73" s="21"/>
      <c r="E73" s="21"/>
      <c r="F73" s="24"/>
    </row>
    <row r="74" spans="1:6" x14ac:dyDescent="0.25">
      <c r="A74" s="23"/>
      <c r="B74" s="31"/>
      <c r="C74" s="31"/>
      <c r="D74" s="21"/>
      <c r="E74" s="21"/>
      <c r="F74" s="24"/>
    </row>
    <row r="75" spans="1:6" x14ac:dyDescent="0.25">
      <c r="A75" s="23"/>
      <c r="B75" s="31"/>
      <c r="C75" s="31"/>
      <c r="D75" s="21"/>
      <c r="E75" s="21"/>
      <c r="F75" s="24"/>
    </row>
    <row r="76" spans="1:6" x14ac:dyDescent="0.25">
      <c r="F76" s="24"/>
    </row>
    <row r="77" spans="1:6" x14ac:dyDescent="0.25">
      <c r="F77" s="24"/>
    </row>
    <row r="78" spans="1:6" x14ac:dyDescent="0.25">
      <c r="F78" s="24"/>
    </row>
    <row r="79" spans="1:6" x14ac:dyDescent="0.25">
      <c r="F79" s="24"/>
    </row>
    <row r="80" spans="1:6" x14ac:dyDescent="0.25">
      <c r="F80" s="24"/>
    </row>
  </sheetData>
  <mergeCells count="14">
    <mergeCell ref="B75:C75"/>
    <mergeCell ref="B74:C74"/>
    <mergeCell ref="B67:C67"/>
    <mergeCell ref="B73:C73"/>
    <mergeCell ref="B62:C62"/>
    <mergeCell ref="B63:C63"/>
    <mergeCell ref="B64:C64"/>
    <mergeCell ref="B65:C65"/>
    <mergeCell ref="B66:C66"/>
    <mergeCell ref="B72:C72"/>
    <mergeCell ref="B71:C71"/>
    <mergeCell ref="B70:C70"/>
    <mergeCell ref="B68:C68"/>
    <mergeCell ref="B69:C6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BA3D-B712-4741-9640-DE3E472A475C}">
  <dimension ref="A1:E46"/>
  <sheetViews>
    <sheetView tabSelected="1" zoomScale="90" zoomScaleNormal="90" workbookViewId="0">
      <selection activeCell="C2" sqref="C2:C30"/>
    </sheetView>
  </sheetViews>
  <sheetFormatPr defaultRowHeight="15" x14ac:dyDescent="0.25"/>
  <cols>
    <col min="1" max="1" width="12" customWidth="1"/>
    <col min="3" max="3" width="10.42578125" customWidth="1"/>
    <col min="4" max="4" width="18" customWidth="1"/>
    <col min="5" max="5" width="27" customWidth="1"/>
  </cols>
  <sheetData>
    <row r="1" spans="1:4" x14ac:dyDescent="0.25">
      <c r="A1" s="2" t="s">
        <v>37</v>
      </c>
      <c r="B1" s="2" t="s">
        <v>38</v>
      </c>
      <c r="C1" s="1" t="s">
        <v>11</v>
      </c>
      <c r="D1" s="1" t="s">
        <v>10</v>
      </c>
    </row>
    <row r="2" spans="1:4" x14ac:dyDescent="0.25">
      <c r="A2" s="4" t="s">
        <v>71</v>
      </c>
      <c r="B2" s="4">
        <v>7.18</v>
      </c>
      <c r="C2" s="8">
        <v>-2.0846493998736499</v>
      </c>
      <c r="D2" s="7">
        <f>B2*C2/100</f>
        <v>-0.14967782691092807</v>
      </c>
    </row>
    <row r="3" spans="1:4" x14ac:dyDescent="0.25">
      <c r="A3" s="4" t="s">
        <v>1</v>
      </c>
      <c r="B3" s="4">
        <v>7.24</v>
      </c>
      <c r="C3" s="8">
        <v>-1.1235955056179701</v>
      </c>
      <c r="D3" s="7">
        <f>B3*C3/100</f>
        <v>-8.1348314606741037E-2</v>
      </c>
    </row>
    <row r="4" spans="1:4" x14ac:dyDescent="0.25">
      <c r="A4" s="4" t="s">
        <v>2</v>
      </c>
      <c r="B4" s="4">
        <v>6.71</v>
      </c>
      <c r="C4" s="8">
        <v>0.168350168350168</v>
      </c>
      <c r="D4" s="7">
        <f t="shared" ref="D4:D30" si="0">B4*C4/100</f>
        <v>1.1296296296296273E-2</v>
      </c>
    </row>
    <row r="5" spans="1:4" x14ac:dyDescent="0.25">
      <c r="A5" s="4" t="s">
        <v>5</v>
      </c>
      <c r="B5" s="4">
        <v>5.6</v>
      </c>
      <c r="C5" s="8">
        <v>0.48971596474044998</v>
      </c>
      <c r="D5" s="7">
        <f t="shared" si="0"/>
        <v>2.7424094025465195E-2</v>
      </c>
    </row>
    <row r="6" spans="1:4" x14ac:dyDescent="0.25">
      <c r="A6" s="4" t="s">
        <v>98</v>
      </c>
      <c r="B6" s="4">
        <v>4.6900000000000004</v>
      </c>
      <c r="C6" s="8">
        <v>9.9865047233468296</v>
      </c>
      <c r="D6" s="7">
        <f t="shared" si="0"/>
        <v>0.46836707152496637</v>
      </c>
    </row>
    <row r="7" spans="1:4" x14ac:dyDescent="0.25">
      <c r="A7" s="4" t="s">
        <v>44</v>
      </c>
      <c r="B7" s="4">
        <v>4.3499999999999996</v>
      </c>
      <c r="C7" s="8">
        <v>4.0148239654107396</v>
      </c>
      <c r="D7" s="7">
        <f t="shared" si="0"/>
        <v>0.17464484249536716</v>
      </c>
    </row>
    <row r="8" spans="1:4" x14ac:dyDescent="0.25">
      <c r="A8" s="4" t="s">
        <v>4</v>
      </c>
      <c r="B8" s="4">
        <v>4.12</v>
      </c>
      <c r="C8" s="8">
        <v>3.91705069124423</v>
      </c>
      <c r="D8" s="7">
        <f t="shared" si="0"/>
        <v>0.16138248847926229</v>
      </c>
    </row>
    <row r="9" spans="1:4" x14ac:dyDescent="0.25">
      <c r="A9" s="4" t="s">
        <v>20</v>
      </c>
      <c r="B9" s="4">
        <v>3.82</v>
      </c>
      <c r="C9" s="8">
        <v>-0.33764772087788397</v>
      </c>
      <c r="D9" s="7">
        <f t="shared" si="0"/>
        <v>-1.2898142937535167E-2</v>
      </c>
    </row>
    <row r="10" spans="1:4" x14ac:dyDescent="0.25">
      <c r="A10" s="4" t="s">
        <v>16</v>
      </c>
      <c r="B10" s="4">
        <v>3.66</v>
      </c>
      <c r="C10" s="8">
        <v>-0.89285714285714202</v>
      </c>
      <c r="D10" s="7">
        <f t="shared" si="0"/>
        <v>-3.2678571428571404E-2</v>
      </c>
    </row>
    <row r="11" spans="1:4" x14ac:dyDescent="0.25">
      <c r="A11" s="4" t="s">
        <v>34</v>
      </c>
      <c r="B11" s="4">
        <v>3.65</v>
      </c>
      <c r="C11" s="8">
        <v>5.5732484076433098</v>
      </c>
      <c r="D11" s="7">
        <f t="shared" si="0"/>
        <v>0.20342356687898078</v>
      </c>
    </row>
    <row r="12" spans="1:4" x14ac:dyDescent="0.25">
      <c r="A12" s="4" t="s">
        <v>76</v>
      </c>
      <c r="B12" s="4">
        <v>3.64</v>
      </c>
      <c r="C12" s="8">
        <v>-1.0697911360162999</v>
      </c>
      <c r="D12" s="7">
        <f t="shared" si="0"/>
        <v>-3.8940397350993319E-2</v>
      </c>
    </row>
    <row r="13" spans="1:4" x14ac:dyDescent="0.25">
      <c r="A13" s="4" t="s">
        <v>73</v>
      </c>
      <c r="B13" s="4">
        <v>3.63</v>
      </c>
      <c r="C13" s="8">
        <v>2.0161290322580601</v>
      </c>
      <c r="D13" s="7">
        <f t="shared" si="0"/>
        <v>7.3185483870967585E-2</v>
      </c>
    </row>
    <row r="14" spans="1:4" x14ac:dyDescent="0.25">
      <c r="A14" s="4" t="s">
        <v>77</v>
      </c>
      <c r="B14" s="4">
        <v>3.26</v>
      </c>
      <c r="C14" s="8">
        <v>-2.12927756653992</v>
      </c>
      <c r="D14" s="7">
        <f t="shared" si="0"/>
        <v>-6.9414448669201392E-2</v>
      </c>
    </row>
    <row r="15" spans="1:4" x14ac:dyDescent="0.25">
      <c r="A15" s="4" t="s">
        <v>78</v>
      </c>
      <c r="B15" s="4">
        <v>3.13</v>
      </c>
      <c r="C15" s="8">
        <v>-9.9916036943744704</v>
      </c>
      <c r="D15" s="7">
        <f t="shared" si="0"/>
        <v>-0.31273719563392094</v>
      </c>
    </row>
    <row r="16" spans="1:4" x14ac:dyDescent="0.25">
      <c r="A16" s="4" t="s">
        <v>79</v>
      </c>
      <c r="B16" s="4">
        <v>3.09</v>
      </c>
      <c r="C16" s="8">
        <v>-1.2812299807815499</v>
      </c>
      <c r="D16" s="7">
        <f t="shared" si="0"/>
        <v>-3.9590006406149889E-2</v>
      </c>
    </row>
    <row r="17" spans="1:5" x14ac:dyDescent="0.25">
      <c r="A17" s="4" t="s">
        <v>6</v>
      </c>
      <c r="B17" s="4">
        <v>2.82</v>
      </c>
      <c r="C17" s="8">
        <v>0.65264684554024599</v>
      </c>
      <c r="D17" s="7">
        <f t="shared" si="0"/>
        <v>1.8404641044234935E-2</v>
      </c>
    </row>
    <row r="18" spans="1:5" x14ac:dyDescent="0.25">
      <c r="A18" s="4" t="s">
        <v>60</v>
      </c>
      <c r="B18" s="4">
        <v>2.62</v>
      </c>
      <c r="C18" s="8">
        <v>-1.3279445727482599</v>
      </c>
      <c r="D18" s="7">
        <f t="shared" si="0"/>
        <v>-3.4792147806004411E-2</v>
      </c>
    </row>
    <row r="19" spans="1:5" x14ac:dyDescent="0.25">
      <c r="A19" s="4" t="s">
        <v>80</v>
      </c>
      <c r="B19" s="4">
        <v>2.44</v>
      </c>
      <c r="C19" s="8">
        <v>-2.2392135445111898</v>
      </c>
      <c r="D19" s="7">
        <f t="shared" si="0"/>
        <v>-5.463681048607303E-2</v>
      </c>
    </row>
    <row r="20" spans="1:5" x14ac:dyDescent="0.25">
      <c r="A20" s="4" t="s">
        <v>3</v>
      </c>
      <c r="B20" s="4">
        <v>2.4</v>
      </c>
      <c r="C20" s="8">
        <v>0.65359477124182996</v>
      </c>
      <c r="D20" s="7">
        <f t="shared" si="0"/>
        <v>1.5686274509803918E-2</v>
      </c>
    </row>
    <row r="21" spans="1:5" x14ac:dyDescent="0.25">
      <c r="A21" s="4" t="s">
        <v>81</v>
      </c>
      <c r="B21" s="4">
        <v>2.36</v>
      </c>
      <c r="C21" s="8">
        <v>3.5353535353535301</v>
      </c>
      <c r="D21" s="7">
        <f t="shared" si="0"/>
        <v>8.3434343434343305E-2</v>
      </c>
    </row>
    <row r="22" spans="1:5" x14ac:dyDescent="0.25">
      <c r="A22" s="4" t="s">
        <v>8</v>
      </c>
      <c r="B22" s="4">
        <v>2.12</v>
      </c>
      <c r="C22" s="8">
        <v>-0.97213220998055705</v>
      </c>
      <c r="D22" s="7">
        <f t="shared" si="0"/>
        <v>-2.0609202851587807E-2</v>
      </c>
    </row>
    <row r="23" spans="1:5" x14ac:dyDescent="0.25">
      <c r="A23" s="4" t="s">
        <v>74</v>
      </c>
      <c r="B23" s="4">
        <v>2.06</v>
      </c>
      <c r="C23" s="8">
        <v>4.5520231213872799</v>
      </c>
      <c r="D23" s="7">
        <f t="shared" si="0"/>
        <v>9.3771676300577964E-2</v>
      </c>
    </row>
    <row r="24" spans="1:5" x14ac:dyDescent="0.25">
      <c r="A24" s="4" t="s">
        <v>82</v>
      </c>
      <c r="B24" s="4">
        <v>1.7</v>
      </c>
      <c r="C24" s="8">
        <v>0.76923076923076905</v>
      </c>
      <c r="D24" s="7">
        <f t="shared" si="0"/>
        <v>1.3076923076923073E-2</v>
      </c>
    </row>
    <row r="25" spans="1:5" x14ac:dyDescent="0.25">
      <c r="A25" s="4" t="s">
        <v>61</v>
      </c>
      <c r="B25" s="4">
        <v>1.59</v>
      </c>
      <c r="C25" s="8">
        <v>4.2068965517241299</v>
      </c>
      <c r="D25" s="7">
        <f t="shared" si="0"/>
        <v>6.6889655172413673E-2</v>
      </c>
    </row>
    <row r="26" spans="1:5" x14ac:dyDescent="0.25">
      <c r="A26" s="4" t="s">
        <v>101</v>
      </c>
      <c r="B26" s="4">
        <v>0.99</v>
      </c>
      <c r="C26" s="14">
        <v>5.60283687943262</v>
      </c>
      <c r="D26" s="7">
        <f t="shared" si="0"/>
        <v>5.5468085106382937E-2</v>
      </c>
    </row>
    <row r="27" spans="1:5" x14ac:dyDescent="0.25">
      <c r="A27" s="4" t="s">
        <v>55</v>
      </c>
      <c r="B27" s="4">
        <v>0.95</v>
      </c>
      <c r="C27" s="8">
        <v>5.7096247960848201</v>
      </c>
      <c r="D27" s="7">
        <f t="shared" si="0"/>
        <v>5.4241435562805786E-2</v>
      </c>
    </row>
    <row r="28" spans="1:5" x14ac:dyDescent="0.25">
      <c r="A28" s="4" t="s">
        <v>102</v>
      </c>
      <c r="B28" s="4">
        <v>0.91</v>
      </c>
      <c r="C28" s="8">
        <v>-2.7428571428571402</v>
      </c>
      <c r="D28" s="7">
        <f t="shared" si="0"/>
        <v>-2.4959999999999979E-2</v>
      </c>
    </row>
    <row r="29" spans="1:5" x14ac:dyDescent="0.25">
      <c r="A29" s="4" t="s">
        <v>103</v>
      </c>
      <c r="B29" s="4">
        <v>0.91</v>
      </c>
      <c r="C29" s="14">
        <v>-1.86046511627906</v>
      </c>
      <c r="D29" s="7">
        <f t="shared" si="0"/>
        <v>-1.6930232558139448E-2</v>
      </c>
      <c r="E29" s="4"/>
    </row>
    <row r="30" spans="1:5" x14ac:dyDescent="0.25">
      <c r="A30" s="4" t="s">
        <v>104</v>
      </c>
      <c r="B30" s="4">
        <v>0.05</v>
      </c>
      <c r="C30" s="8">
        <v>2</v>
      </c>
      <c r="D30" s="7">
        <f t="shared" si="0"/>
        <v>1E-3</v>
      </c>
      <c r="E30" s="17"/>
    </row>
    <row r="31" spans="1:5" x14ac:dyDescent="0.25">
      <c r="A31" s="16" t="s">
        <v>53</v>
      </c>
      <c r="B31" s="5">
        <f>B2+B3+B4+B5+B6+B7+B8+B9+B10+B11+B12+B13+B14+B15+B16+B17+B18+B19+B20+B21+B22+B23+B24+B25+B26+B27+B28+B29+B30</f>
        <v>91.69</v>
      </c>
      <c r="C31" s="5"/>
      <c r="D31" s="6">
        <f>D2+D3+D4+D5+D6+D7+D8+D9+D10+D11+D12+D13+D14+D15+D16+D17+D18+D19+D20+D21+D22+D23+D24+D25+D26+D27+D28+D29+D30</f>
        <v>0.63248358013294526</v>
      </c>
    </row>
    <row r="32" spans="1:5" x14ac:dyDescent="0.25">
      <c r="A32" s="5"/>
      <c r="B32" s="32"/>
      <c r="C32" s="32"/>
      <c r="D32" s="20"/>
      <c r="E32" s="5"/>
    </row>
    <row r="33" spans="1:5" x14ac:dyDescent="0.25">
      <c r="A33" s="18"/>
      <c r="B33" s="31"/>
      <c r="C33" s="31"/>
      <c r="D33" s="25"/>
      <c r="E33" s="21"/>
    </row>
    <row r="34" spans="1:5" x14ac:dyDescent="0.25">
      <c r="A34" s="18"/>
      <c r="B34" s="31"/>
      <c r="C34" s="31"/>
      <c r="D34" s="25"/>
      <c r="E34" s="22"/>
    </row>
    <row r="35" spans="1:5" x14ac:dyDescent="0.25">
      <c r="A35" s="18"/>
      <c r="B35" s="31"/>
      <c r="C35" s="31"/>
      <c r="D35" s="25"/>
      <c r="E35" s="22"/>
    </row>
    <row r="36" spans="1:5" x14ac:dyDescent="0.25">
      <c r="A36" s="18"/>
      <c r="B36" s="31"/>
      <c r="C36" s="31"/>
      <c r="D36" s="25"/>
      <c r="E36" s="22"/>
    </row>
    <row r="37" spans="1:5" x14ac:dyDescent="0.25">
      <c r="A37" s="18"/>
      <c r="B37" s="31"/>
      <c r="C37" s="31"/>
      <c r="D37" s="25"/>
      <c r="E37" s="22"/>
    </row>
    <row r="38" spans="1:5" x14ac:dyDescent="0.25">
      <c r="A38" s="18"/>
      <c r="B38" s="31"/>
      <c r="C38" s="31"/>
      <c r="D38" s="25"/>
      <c r="E38" s="22"/>
    </row>
    <row r="39" spans="1:5" x14ac:dyDescent="0.25">
      <c r="A39" s="18"/>
      <c r="B39" s="31"/>
      <c r="C39" s="31"/>
      <c r="D39" s="25"/>
      <c r="E39" s="22"/>
    </row>
    <row r="40" spans="1:5" x14ac:dyDescent="0.25">
      <c r="A40" s="18"/>
      <c r="B40" s="31"/>
      <c r="C40" s="31"/>
      <c r="D40" s="25"/>
      <c r="E40" s="22"/>
    </row>
    <row r="41" spans="1:5" x14ac:dyDescent="0.25">
      <c r="A41" s="18"/>
      <c r="B41" s="31"/>
      <c r="C41" s="31"/>
      <c r="D41" s="25"/>
      <c r="E41" s="22"/>
    </row>
    <row r="42" spans="1:5" x14ac:dyDescent="0.25">
      <c r="A42" s="18"/>
      <c r="B42" s="31"/>
      <c r="C42" s="31"/>
      <c r="D42" s="25"/>
      <c r="E42" s="22"/>
    </row>
    <row r="43" spans="1:5" x14ac:dyDescent="0.25">
      <c r="A43" s="18"/>
      <c r="B43" s="31"/>
      <c r="C43" s="31"/>
      <c r="D43" s="25"/>
      <c r="E43" s="22"/>
    </row>
    <row r="44" spans="1:5" x14ac:dyDescent="0.25">
      <c r="A44" s="18"/>
      <c r="B44" s="31"/>
      <c r="C44" s="31"/>
      <c r="D44" s="25"/>
      <c r="E44" s="22"/>
    </row>
    <row r="45" spans="1:5" x14ac:dyDescent="0.25">
      <c r="A45" s="18"/>
      <c r="B45" s="31"/>
      <c r="C45" s="31"/>
      <c r="D45" s="25"/>
      <c r="E45" s="22"/>
    </row>
    <row r="46" spans="1:5" x14ac:dyDescent="0.25">
      <c r="A46" s="18"/>
      <c r="B46" s="31"/>
      <c r="C46" s="31"/>
      <c r="D46" s="25"/>
      <c r="E46" s="22"/>
    </row>
  </sheetData>
  <mergeCells count="15">
    <mergeCell ref="B41:C4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2:C42"/>
    <mergeCell ref="B43:C43"/>
    <mergeCell ref="B44:C44"/>
    <mergeCell ref="B45:C45"/>
    <mergeCell ref="B46:C4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TLY</vt:lpstr>
      <vt:lpstr>PHE</vt:lpstr>
      <vt:lpstr>PBR</vt:lpstr>
      <vt:lpstr>DFI</vt:lpstr>
      <vt:lpstr>KHA</vt:lpstr>
      <vt:lpstr>THF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 vbn</dc:creator>
  <cp:lastModifiedBy>hf vbn</cp:lastModifiedBy>
  <dcterms:created xsi:type="dcterms:W3CDTF">2026-06-11T18:45:17Z</dcterms:created>
  <dcterms:modified xsi:type="dcterms:W3CDTF">2026-08-14T15:12:34Z</dcterms:modified>
</cp:coreProperties>
</file>