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0AC13225-7B24-4346-B8EB-3C3EAFAAB343}" xr6:coauthVersionLast="47" xr6:coauthVersionMax="47" xr10:uidLastSave="{00000000-0000-0000-0000-000000000000}"/>
  <bookViews>
    <workbookView xWindow="-18000" yWindow="0" windowWidth="11295" windowHeight="20985" activeTab="4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" i="8" l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47" i="7"/>
  <c r="D46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4" i="4"/>
  <c r="D2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  <c r="D2" i="1"/>
  <c r="B33" i="8"/>
  <c r="D45" i="7"/>
  <c r="B50" i="7"/>
  <c r="D49" i="7"/>
  <c r="D48" i="7"/>
  <c r="D3" i="4"/>
  <c r="B10" i="4"/>
  <c r="D9" i="4"/>
  <c r="D8" i="4"/>
  <c r="D7" i="4"/>
  <c r="D6" i="4"/>
  <c r="D5" i="4"/>
  <c r="B27" i="2"/>
  <c r="D26" i="2"/>
  <c r="D25" i="2"/>
  <c r="D24" i="2"/>
  <c r="D23" i="2"/>
  <c r="D10" i="1"/>
  <c r="B21" i="1"/>
  <c r="D20" i="1"/>
  <c r="D19" i="1"/>
  <c r="D33" i="8" l="1"/>
  <c r="D50" i="7"/>
  <c r="D10" i="4"/>
  <c r="D27" i="2"/>
  <c r="D21" i="1"/>
</calcChain>
</file>

<file path=xl/sharedStrings.xml><?xml version="1.0" encoding="utf-8"?>
<sst xmlns="http://schemas.openxmlformats.org/spreadsheetml/2006/main" count="156" uniqueCount="102">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</sst>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27.03</v>
      </c>
      <c r="C2" s="3">
        <v>0</v>
      </c>
      <c r="D2" s="7">
        <f>B2*C2/100</f>
        <v>0</v>
      </c>
    </row>
    <row r="3" spans="1:4" x14ac:dyDescent="0.25">
      <c r="A3" s="4" t="s">
        <v>0</v>
      </c>
      <c r="B3" s="4">
        <v>18.78</v>
      </c>
      <c r="C3" s="3">
        <v>2.38095238095238</v>
      </c>
      <c r="D3" s="7">
        <f>B3*C3/100</f>
        <v>0.44714285714285701</v>
      </c>
    </row>
    <row r="4" spans="1:4" x14ac:dyDescent="0.25">
      <c r="A4" s="4" t="s">
        <v>5</v>
      </c>
      <c r="B4" s="4">
        <v>8.99</v>
      </c>
      <c r="C4" s="3">
        <v>-0.29154518950437303</v>
      </c>
      <c r="D4" s="7">
        <f t="shared" ref="D4:D20" si="0">B4*C4/100</f>
        <v>-2.6209912536443135E-2</v>
      </c>
    </row>
    <row r="5" spans="1:4" x14ac:dyDescent="0.25">
      <c r="A5" s="4" t="s">
        <v>3</v>
      </c>
      <c r="B5" s="4">
        <v>6.9</v>
      </c>
      <c r="C5" s="3">
        <v>-1.7161716171617101</v>
      </c>
      <c r="D5" s="7">
        <f t="shared" si="0"/>
        <v>-0.11841584158415801</v>
      </c>
    </row>
    <row r="6" spans="1:4" x14ac:dyDescent="0.25">
      <c r="A6" s="4" t="s">
        <v>2</v>
      </c>
      <c r="B6" s="4">
        <v>2.91</v>
      </c>
      <c r="C6" s="3">
        <v>-2.2777777777777701</v>
      </c>
      <c r="D6" s="7">
        <f t="shared" si="0"/>
        <v>-6.6283333333333111E-2</v>
      </c>
    </row>
    <row r="7" spans="1:4" x14ac:dyDescent="0.25">
      <c r="A7" s="4" t="s">
        <v>4</v>
      </c>
      <c r="B7" s="4">
        <v>4.82</v>
      </c>
      <c r="C7" s="3">
        <v>4.4897959183673404</v>
      </c>
      <c r="D7" s="7">
        <f t="shared" si="0"/>
        <v>0.21640816326530582</v>
      </c>
    </row>
    <row r="8" spans="1:4" x14ac:dyDescent="0.25">
      <c r="A8" s="4" t="s">
        <v>6</v>
      </c>
      <c r="B8" s="4">
        <v>2.0499999999999998</v>
      </c>
      <c r="C8" s="3">
        <v>1.61177295024526</v>
      </c>
      <c r="D8" s="7">
        <f t="shared" si="0"/>
        <v>3.3041345480027823E-2</v>
      </c>
    </row>
    <row r="9" spans="1:4" x14ac:dyDescent="0.25">
      <c r="A9" s="4" t="s">
        <v>7</v>
      </c>
      <c r="B9" s="4">
        <v>1.57</v>
      </c>
      <c r="C9" s="3">
        <v>-0.40887850467289699</v>
      </c>
      <c r="D9" s="7">
        <f t="shared" si="0"/>
        <v>-6.4193925233644832E-3</v>
      </c>
    </row>
    <row r="10" spans="1:4" x14ac:dyDescent="0.25">
      <c r="A10" s="4" t="s">
        <v>42</v>
      </c>
      <c r="B10" s="4">
        <v>1.8</v>
      </c>
      <c r="C10" s="3">
        <v>1.05633802816901</v>
      </c>
      <c r="D10" s="7">
        <f t="shared" si="0"/>
        <v>1.9014084507042183E-2</v>
      </c>
    </row>
    <row r="11" spans="1:4" x14ac:dyDescent="0.25">
      <c r="A11" s="4" t="s">
        <v>81</v>
      </c>
      <c r="B11" s="4">
        <v>3.26</v>
      </c>
      <c r="C11" s="3">
        <v>0.13477088948787</v>
      </c>
      <c r="D11" s="7">
        <f t="shared" si="0"/>
        <v>4.3935309973045615E-3</v>
      </c>
    </row>
    <row r="12" spans="1:4" x14ac:dyDescent="0.25">
      <c r="A12" s="4" t="s">
        <v>9</v>
      </c>
      <c r="B12" s="4">
        <v>0.37</v>
      </c>
      <c r="C12" s="3">
        <v>-6.1589403973509897</v>
      </c>
      <c r="D12" s="7">
        <f t="shared" si="0"/>
        <v>-2.2788079470198661E-2</v>
      </c>
    </row>
    <row r="13" spans="1:4" x14ac:dyDescent="0.25">
      <c r="A13" s="4" t="s">
        <v>8</v>
      </c>
      <c r="B13" s="4">
        <v>0.55000000000000004</v>
      </c>
      <c r="C13" s="3">
        <v>-9.9783080260303603</v>
      </c>
      <c r="D13" s="7">
        <f t="shared" si="0"/>
        <v>-5.4880694143166986E-2</v>
      </c>
    </row>
    <row r="14" spans="1:4" x14ac:dyDescent="0.25">
      <c r="A14" s="4" t="s">
        <v>53</v>
      </c>
      <c r="B14" s="4">
        <v>0.31</v>
      </c>
      <c r="C14" s="3">
        <v>-0.37493304767005797</v>
      </c>
      <c r="D14" s="7">
        <f t="shared" si="0"/>
        <v>-1.1622924477771796E-3</v>
      </c>
    </row>
    <row r="15" spans="1:4" x14ac:dyDescent="0.25">
      <c r="A15" s="4" t="s">
        <v>43</v>
      </c>
      <c r="B15" s="4">
        <v>0.14000000000000001</v>
      </c>
      <c r="C15" s="3">
        <v>-4.0165386887182501</v>
      </c>
      <c r="D15" s="7">
        <f t="shared" si="0"/>
        <v>-5.6231541642055502E-3</v>
      </c>
    </row>
    <row r="16" spans="1:4" x14ac:dyDescent="0.25">
      <c r="A16" s="4" t="s">
        <v>82</v>
      </c>
      <c r="B16" s="4">
        <v>0.2</v>
      </c>
      <c r="C16" s="3">
        <v>9.9939795304033705</v>
      </c>
      <c r="D16" s="7">
        <f t="shared" si="0"/>
        <v>1.9987959060806741E-2</v>
      </c>
    </row>
    <row r="17" spans="1:6" x14ac:dyDescent="0.25">
      <c r="A17" s="4" t="s">
        <v>27</v>
      </c>
      <c r="B17" s="4">
        <v>0.1</v>
      </c>
      <c r="C17" s="3">
        <v>3.6214953271027999</v>
      </c>
      <c r="D17" s="7">
        <f t="shared" si="0"/>
        <v>3.6214953271027999E-3</v>
      </c>
    </row>
    <row r="18" spans="1:6" x14ac:dyDescent="0.25">
      <c r="A18" s="4" t="s">
        <v>84</v>
      </c>
      <c r="B18" s="4">
        <v>0.1</v>
      </c>
      <c r="C18" s="3">
        <v>9.9912357581069209</v>
      </c>
      <c r="D18" s="7">
        <f t="shared" si="0"/>
        <v>9.9912357581069203E-3</v>
      </c>
    </row>
    <row r="19" spans="1:6" x14ac:dyDescent="0.25">
      <c r="A19" s="4" t="s">
        <v>44</v>
      </c>
      <c r="B19" s="4">
        <v>4.78</v>
      </c>
      <c r="C19" s="3">
        <v>0.1</v>
      </c>
      <c r="D19" s="7">
        <f t="shared" si="0"/>
        <v>4.7800000000000004E-3</v>
      </c>
    </row>
    <row r="20" spans="1:6" x14ac:dyDescent="0.25">
      <c r="A20" s="4" t="s">
        <v>85</v>
      </c>
      <c r="B20" s="4">
        <v>0.01</v>
      </c>
      <c r="C20" s="3">
        <v>1.24</v>
      </c>
      <c r="D20" s="7">
        <f t="shared" si="0"/>
        <v>1.2400000000000001E-4</v>
      </c>
    </row>
    <row r="21" spans="1:6" x14ac:dyDescent="0.25">
      <c r="A21" s="5" t="s">
        <v>52</v>
      </c>
      <c r="B21" s="5">
        <f>B2+B3+B4+B5+B6+B7+B8+B9+B10+B11+B12+B13+B14+B15+B16+B17+B18+B19+B20</f>
        <v>84.67</v>
      </c>
      <c r="C21" s="5"/>
      <c r="D21" s="6">
        <f>D2+D3+D4+D5+D6+D7+D8+D9+D10+D11+D12+D13+D14+D15+D16+D17+D18+D19+D20</f>
        <v>0.45672197133590675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5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6"/>
    </row>
    <row r="30" spans="1:6" x14ac:dyDescent="0.25">
      <c r="A30" s="29"/>
      <c r="B30" s="29"/>
      <c r="C30" s="9"/>
      <c r="D30" s="18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17"/>
      <c r="B32" s="29"/>
      <c r="C32" s="29"/>
      <c r="D32" s="24"/>
      <c r="E32" s="20"/>
      <c r="F32" s="23"/>
    </row>
    <row r="33" spans="1:6" x14ac:dyDescent="0.25">
      <c r="A33" s="17"/>
      <c r="B33" s="29"/>
      <c r="C33" s="29"/>
      <c r="D33" s="24"/>
      <c r="E33" s="21"/>
      <c r="F33" s="23"/>
    </row>
    <row r="34" spans="1:6" x14ac:dyDescent="0.25">
      <c r="A34" s="17"/>
      <c r="B34" s="29"/>
      <c r="C34" s="29"/>
      <c r="D34" s="24"/>
      <c r="E34" s="21"/>
      <c r="F34" s="23"/>
    </row>
    <row r="35" spans="1:6" x14ac:dyDescent="0.25">
      <c r="A35" s="17"/>
      <c r="B35" s="29"/>
      <c r="C35" s="29"/>
      <c r="D35" s="24"/>
      <c r="E35" s="21"/>
      <c r="F35" s="23"/>
    </row>
    <row r="36" spans="1:6" x14ac:dyDescent="0.25">
      <c r="A36" s="17"/>
      <c r="B36" s="29"/>
      <c r="C36" s="29"/>
      <c r="D36" s="24"/>
      <c r="E36" s="21"/>
      <c r="F36" s="23"/>
    </row>
    <row r="37" spans="1:6" x14ac:dyDescent="0.25">
      <c r="A37" s="17"/>
      <c r="B37" s="29"/>
      <c r="C37" s="29"/>
      <c r="D37" s="24"/>
      <c r="E37" s="21"/>
      <c r="F37" s="23"/>
    </row>
    <row r="38" spans="1:6" x14ac:dyDescent="0.25">
      <c r="A38" s="17"/>
      <c r="B38" s="29"/>
      <c r="C38" s="29"/>
      <c r="D38" s="24"/>
      <c r="E38" s="21"/>
      <c r="F38" s="23"/>
    </row>
    <row r="39" spans="1:6" x14ac:dyDescent="0.25">
      <c r="A39" s="17"/>
      <c r="B39" s="29"/>
      <c r="C39" s="29"/>
      <c r="D39" s="24"/>
      <c r="E39" s="21"/>
      <c r="F39" s="23"/>
    </row>
    <row r="40" spans="1:6" x14ac:dyDescent="0.25">
      <c r="A40" s="17"/>
      <c r="B40" s="29"/>
      <c r="C40" s="29"/>
      <c r="D40" s="24"/>
      <c r="E40" s="21"/>
      <c r="F40" s="23"/>
    </row>
    <row r="41" spans="1:6" x14ac:dyDescent="0.25">
      <c r="A41" s="17"/>
      <c r="B41" s="29"/>
      <c r="C41" s="29"/>
      <c r="D41" s="24"/>
      <c r="E41" s="21"/>
      <c r="F41" s="23"/>
    </row>
    <row r="42" spans="1:6" x14ac:dyDescent="0.25">
      <c r="A42" s="17"/>
      <c r="B42" s="29"/>
      <c r="C42" s="29"/>
      <c r="D42" s="24"/>
      <c r="E42" s="21"/>
      <c r="F42" s="23"/>
    </row>
    <row r="43" spans="1:6" x14ac:dyDescent="0.25">
      <c r="A43" s="17"/>
      <c r="B43" s="29"/>
      <c r="C43" s="29"/>
      <c r="D43" s="24"/>
      <c r="E43" s="21"/>
      <c r="F43" s="23"/>
    </row>
    <row r="44" spans="1:6" x14ac:dyDescent="0.25">
      <c r="A44" s="17"/>
      <c r="B44" s="29"/>
      <c r="C44" s="29"/>
      <c r="D44" s="24"/>
      <c r="E44" s="21"/>
      <c r="F44" s="23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36</v>
      </c>
      <c r="B1" s="2" t="s">
        <v>45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17.600000000000001</v>
      </c>
      <c r="C2" s="26">
        <v>-9.9956350938454808</v>
      </c>
      <c r="D2" s="4">
        <f>B2*C2/100</f>
        <v>-1.7592317765168048</v>
      </c>
    </row>
    <row r="3" spans="1:4" x14ac:dyDescent="0.25">
      <c r="A3" s="4" t="s">
        <v>15</v>
      </c>
      <c r="B3" s="4">
        <v>5.71</v>
      </c>
      <c r="C3" s="26">
        <v>0</v>
      </c>
      <c r="D3" s="4">
        <f t="shared" ref="D3:D26" si="0">B3*C3/100</f>
        <v>0</v>
      </c>
    </row>
    <row r="4" spans="1:4" x14ac:dyDescent="0.25">
      <c r="A4" s="4" t="s">
        <v>12</v>
      </c>
      <c r="B4" s="4">
        <v>18.09</v>
      </c>
      <c r="C4" s="26">
        <v>1.7838405036726099</v>
      </c>
      <c r="D4" s="4">
        <f t="shared" si="0"/>
        <v>0.32269674711437513</v>
      </c>
    </row>
    <row r="5" spans="1:4" x14ac:dyDescent="0.25">
      <c r="A5" s="4" t="s">
        <v>13</v>
      </c>
      <c r="B5" s="4">
        <v>15.74</v>
      </c>
      <c r="C5" s="26">
        <v>2.4193548387096699</v>
      </c>
      <c r="D5" s="4">
        <f t="shared" si="0"/>
        <v>0.38080645161290205</v>
      </c>
    </row>
    <row r="6" spans="1:4" x14ac:dyDescent="0.25">
      <c r="A6" s="4" t="s">
        <v>9</v>
      </c>
      <c r="B6" s="4">
        <v>4.63</v>
      </c>
      <c r="C6" s="26">
        <v>-6.1589403973509897</v>
      </c>
      <c r="D6" s="4">
        <f t="shared" si="0"/>
        <v>-0.28515894039735079</v>
      </c>
    </row>
    <row r="7" spans="1:4" x14ac:dyDescent="0.25">
      <c r="A7" s="4" t="s">
        <v>0</v>
      </c>
      <c r="B7" s="4">
        <v>2.91</v>
      </c>
      <c r="C7" s="26">
        <v>2.38095238095238</v>
      </c>
      <c r="D7" s="4">
        <f t="shared" si="0"/>
        <v>6.9285714285714256E-2</v>
      </c>
    </row>
    <row r="8" spans="1:4" x14ac:dyDescent="0.25">
      <c r="A8" s="4" t="s">
        <v>29</v>
      </c>
      <c r="B8" s="4">
        <v>4.84</v>
      </c>
      <c r="C8" s="26">
        <v>0.73170731707317005</v>
      </c>
      <c r="D8" s="4">
        <f t="shared" si="0"/>
        <v>3.5414634146341425E-2</v>
      </c>
    </row>
    <row r="9" spans="1:4" x14ac:dyDescent="0.25">
      <c r="A9" s="4" t="s">
        <v>46</v>
      </c>
      <c r="B9" s="4">
        <v>2.82</v>
      </c>
      <c r="C9" s="26">
        <v>-1.1274934952298299</v>
      </c>
      <c r="D9" s="4">
        <f t="shared" si="0"/>
        <v>-3.1795316565481201E-2</v>
      </c>
    </row>
    <row r="10" spans="1:4" x14ac:dyDescent="0.25">
      <c r="A10" s="4" t="s">
        <v>6</v>
      </c>
      <c r="B10" s="4">
        <v>2.75</v>
      </c>
      <c r="C10" s="26">
        <v>1.61177295024526</v>
      </c>
      <c r="D10" s="4">
        <f t="shared" si="0"/>
        <v>4.4323756131744656E-2</v>
      </c>
    </row>
    <row r="11" spans="1:4" x14ac:dyDescent="0.25">
      <c r="A11" s="4" t="s">
        <v>17</v>
      </c>
      <c r="B11" s="4">
        <v>1.89</v>
      </c>
      <c r="C11" s="26">
        <v>-2.4665981500513801</v>
      </c>
      <c r="D11" s="4">
        <f t="shared" si="0"/>
        <v>-4.6618705035971084E-2</v>
      </c>
    </row>
    <row r="12" spans="1:4" x14ac:dyDescent="0.25">
      <c r="A12" s="4" t="s">
        <v>32</v>
      </c>
      <c r="B12" s="4">
        <v>1.1100000000000001</v>
      </c>
      <c r="C12" s="26">
        <v>9.2506938020351495E-2</v>
      </c>
      <c r="D12" s="4">
        <f t="shared" si="0"/>
        <v>1.0268270120259017E-3</v>
      </c>
    </row>
    <row r="13" spans="1:4" x14ac:dyDescent="0.25">
      <c r="A13" s="4" t="s">
        <v>84</v>
      </c>
      <c r="B13" s="4">
        <v>2.25</v>
      </c>
      <c r="C13" s="26">
        <v>9.9912357581069209</v>
      </c>
      <c r="D13" s="4">
        <f t="shared" si="0"/>
        <v>0.22480280455740573</v>
      </c>
    </row>
    <row r="14" spans="1:4" x14ac:dyDescent="0.25">
      <c r="A14" s="4" t="s">
        <v>3</v>
      </c>
      <c r="B14" s="4">
        <v>1.68</v>
      </c>
      <c r="C14" s="26">
        <v>-1.7161716171617101</v>
      </c>
      <c r="D14" s="4">
        <f t="shared" si="0"/>
        <v>-2.8831683168316729E-2</v>
      </c>
    </row>
    <row r="15" spans="1:4" x14ac:dyDescent="0.25">
      <c r="A15" s="4" t="s">
        <v>7</v>
      </c>
      <c r="B15" s="4">
        <v>0.66</v>
      </c>
      <c r="C15" s="26">
        <v>-0.40887850467289699</v>
      </c>
      <c r="D15" s="4">
        <f t="shared" si="0"/>
        <v>-2.6985981308411205E-3</v>
      </c>
    </row>
    <row r="16" spans="1:4" x14ac:dyDescent="0.25">
      <c r="A16" s="4" t="s">
        <v>27</v>
      </c>
      <c r="B16" s="4">
        <v>0.53</v>
      </c>
      <c r="C16" s="26">
        <v>3.6214953271027999</v>
      </c>
      <c r="D16" s="4">
        <f t="shared" si="0"/>
        <v>1.919392523364484E-2</v>
      </c>
    </row>
    <row r="17" spans="1:4" x14ac:dyDescent="0.25">
      <c r="A17" s="4" t="s">
        <v>48</v>
      </c>
      <c r="B17" s="4">
        <v>0.38</v>
      </c>
      <c r="C17" s="26">
        <v>-0.94117647058823495</v>
      </c>
      <c r="D17" s="4">
        <f t="shared" si="0"/>
        <v>-3.5764705882352925E-3</v>
      </c>
    </row>
    <row r="18" spans="1:4" x14ac:dyDescent="0.25">
      <c r="A18" s="4" t="s">
        <v>30</v>
      </c>
      <c r="B18" s="4">
        <v>0.13</v>
      </c>
      <c r="C18" s="26">
        <v>2.7173913043478199</v>
      </c>
      <c r="D18" s="4">
        <f t="shared" si="0"/>
        <v>3.5326086956521661E-3</v>
      </c>
    </row>
    <row r="19" spans="1:4" x14ac:dyDescent="0.25">
      <c r="A19" s="4" t="s">
        <v>4</v>
      </c>
      <c r="B19" s="4">
        <v>1.64</v>
      </c>
      <c r="C19" s="26">
        <v>4.4897959183673404</v>
      </c>
      <c r="D19" s="4">
        <f t="shared" si="0"/>
        <v>7.3632653061224379E-2</v>
      </c>
    </row>
    <row r="20" spans="1:4" x14ac:dyDescent="0.25">
      <c r="A20" s="4" t="s">
        <v>70</v>
      </c>
      <c r="B20" s="4">
        <v>7.0000000000000007E-2</v>
      </c>
      <c r="C20" s="26">
        <v>0.158227848101265</v>
      </c>
      <c r="D20" s="4">
        <f t="shared" si="0"/>
        <v>1.107594936708855E-4</v>
      </c>
    </row>
    <row r="21" spans="1:4" x14ac:dyDescent="0.25">
      <c r="A21" s="4" t="s">
        <v>18</v>
      </c>
      <c r="B21" s="4">
        <v>0.04</v>
      </c>
      <c r="C21" s="26">
        <v>6.0252672497570403</v>
      </c>
      <c r="D21" s="4">
        <f t="shared" si="0"/>
        <v>2.4101068999028159E-3</v>
      </c>
    </row>
    <row r="22" spans="1:4" x14ac:dyDescent="0.25">
      <c r="A22" s="4" t="s">
        <v>50</v>
      </c>
      <c r="B22" s="4">
        <v>7.0000000000000007E-2</v>
      </c>
      <c r="C22" s="26">
        <v>0.49575070821529699</v>
      </c>
      <c r="D22" s="4">
        <f t="shared" si="0"/>
        <v>3.4702549575070795E-4</v>
      </c>
    </row>
    <row r="23" spans="1:4" x14ac:dyDescent="0.25">
      <c r="A23" s="4" t="s">
        <v>34</v>
      </c>
      <c r="B23" s="4">
        <v>12.75</v>
      </c>
      <c r="C23" s="26">
        <v>5.3</v>
      </c>
      <c r="D23" s="4">
        <f t="shared" si="0"/>
        <v>0.67575000000000007</v>
      </c>
    </row>
    <row r="24" spans="1:4" x14ac:dyDescent="0.25">
      <c r="A24" s="4" t="s">
        <v>35</v>
      </c>
      <c r="B24" s="4">
        <v>11.25</v>
      </c>
      <c r="C24" s="26">
        <v>4.76</v>
      </c>
      <c r="D24" s="4">
        <f t="shared" si="0"/>
        <v>0.53549999999999998</v>
      </c>
    </row>
    <row r="25" spans="1:4" x14ac:dyDescent="0.25">
      <c r="A25" s="4" t="s">
        <v>47</v>
      </c>
      <c r="B25" s="4">
        <v>1.66</v>
      </c>
      <c r="C25" s="3">
        <v>0.14000000000000001</v>
      </c>
      <c r="D25" s="4">
        <f t="shared" si="0"/>
        <v>2.3240000000000001E-3</v>
      </c>
    </row>
    <row r="26" spans="1:4" x14ac:dyDescent="0.25">
      <c r="A26" s="4" t="s">
        <v>86</v>
      </c>
      <c r="B26" s="4">
        <v>0.02</v>
      </c>
      <c r="C26" s="3">
        <v>1.34</v>
      </c>
      <c r="D26" s="4">
        <f t="shared" si="0"/>
        <v>2.6800000000000001E-4</v>
      </c>
    </row>
    <row r="27" spans="1:4" x14ac:dyDescent="0.25">
      <c r="A27" s="12" t="s">
        <v>52</v>
      </c>
      <c r="B27" s="5">
        <f>SUM(B2:B26)</f>
        <v>111.21999999999998</v>
      </c>
      <c r="D27" s="6">
        <f>SUM(D2:D26)</f>
        <v>0.2335145233373544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4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6"/>
    </row>
    <row r="50" spans="1:6" x14ac:dyDescent="0.25">
      <c r="A50" s="29"/>
      <c r="B50" s="29"/>
      <c r="C50" s="9"/>
      <c r="D50" s="9"/>
    </row>
    <row r="55" spans="1:6" x14ac:dyDescent="0.25">
      <c r="A55" s="5"/>
      <c r="B55" s="30"/>
      <c r="C55" s="30"/>
      <c r="D55" s="19"/>
      <c r="E55" s="5"/>
      <c r="F55" s="5"/>
    </row>
    <row r="56" spans="1:6" x14ac:dyDescent="0.25">
      <c r="A56" s="17"/>
      <c r="B56" s="29"/>
      <c r="C56" s="29"/>
      <c r="D56" s="20"/>
      <c r="E56" s="20"/>
      <c r="F56" s="23"/>
    </row>
    <row r="57" spans="1:6" x14ac:dyDescent="0.25">
      <c r="A57" s="17"/>
      <c r="B57" s="29"/>
      <c r="C57" s="29"/>
      <c r="D57" s="20"/>
      <c r="E57" s="20"/>
      <c r="F57" s="23"/>
    </row>
    <row r="58" spans="1:6" x14ac:dyDescent="0.25">
      <c r="A58" s="17"/>
      <c r="B58" s="29"/>
      <c r="C58" s="29"/>
      <c r="D58" s="20"/>
      <c r="E58" s="20"/>
      <c r="F58" s="23"/>
    </row>
    <row r="59" spans="1:6" x14ac:dyDescent="0.25">
      <c r="A59" s="17"/>
      <c r="B59" s="29"/>
      <c r="C59" s="29"/>
      <c r="D59" s="20"/>
      <c r="E59" s="20"/>
      <c r="F59" s="23"/>
    </row>
    <row r="60" spans="1:6" x14ac:dyDescent="0.25">
      <c r="A60" s="17"/>
      <c r="B60" s="29"/>
      <c r="C60" s="29"/>
      <c r="D60" s="20"/>
      <c r="E60" s="20"/>
      <c r="F60" s="23"/>
    </row>
    <row r="61" spans="1:6" x14ac:dyDescent="0.25">
      <c r="A61" s="17"/>
      <c r="B61" s="29"/>
      <c r="C61" s="29"/>
      <c r="D61" s="20"/>
      <c r="E61" s="20"/>
      <c r="F61" s="23"/>
    </row>
    <row r="62" spans="1:6" x14ac:dyDescent="0.25">
      <c r="A62" s="17"/>
      <c r="B62" s="29"/>
      <c r="C62" s="29"/>
      <c r="D62" s="20"/>
      <c r="E62" s="20"/>
      <c r="F62" s="23"/>
    </row>
    <row r="63" spans="1:6" x14ac:dyDescent="0.25">
      <c r="A63" s="17"/>
      <c r="B63" s="29"/>
      <c r="C63" s="29"/>
      <c r="D63" s="20"/>
      <c r="E63" s="20"/>
      <c r="F63" s="23"/>
    </row>
    <row r="64" spans="1:6" x14ac:dyDescent="0.25">
      <c r="A64" s="17"/>
      <c r="B64" s="29"/>
      <c r="C64" s="29"/>
      <c r="D64" s="20"/>
      <c r="E64" s="20"/>
      <c r="F64" s="23"/>
    </row>
    <row r="65" spans="1:6" x14ac:dyDescent="0.25">
      <c r="A65" s="17"/>
      <c r="B65" s="29"/>
      <c r="C65" s="29"/>
      <c r="D65" s="20"/>
      <c r="E65" s="20"/>
      <c r="F65" s="23"/>
    </row>
    <row r="66" spans="1:6" x14ac:dyDescent="0.25">
      <c r="A66" s="17"/>
      <c r="B66" s="29"/>
      <c r="C66" s="29"/>
      <c r="D66" s="20"/>
      <c r="E66" s="20"/>
      <c r="F66" s="23"/>
    </row>
    <row r="67" spans="1:6" x14ac:dyDescent="0.25">
      <c r="A67" s="17"/>
      <c r="B67" s="29"/>
      <c r="C67" s="29"/>
      <c r="D67" s="20"/>
      <c r="E67" s="20"/>
      <c r="F67" s="23"/>
    </row>
    <row r="68" spans="1:6" x14ac:dyDescent="0.25">
      <c r="A68" s="17"/>
      <c r="B68" s="29"/>
      <c r="C68" s="29"/>
      <c r="D68" s="20"/>
      <c r="E68" s="20"/>
      <c r="F68" s="23"/>
    </row>
    <row r="69" spans="1:6" x14ac:dyDescent="0.25">
      <c r="A69" s="17"/>
      <c r="B69" s="29"/>
      <c r="C69" s="29"/>
      <c r="D69" s="18"/>
      <c r="E69" s="21"/>
      <c r="F69" s="23"/>
    </row>
    <row r="70" spans="1:6" x14ac:dyDescent="0.25">
      <c r="A70" s="17"/>
      <c r="B70" s="29"/>
      <c r="C70" s="29"/>
      <c r="D70" s="18"/>
      <c r="E70" s="21"/>
      <c r="F70" s="23"/>
    </row>
    <row r="71" spans="1:6" x14ac:dyDescent="0.25">
      <c r="A71" s="17"/>
      <c r="B71" s="29"/>
      <c r="C71" s="29"/>
      <c r="D71" s="18"/>
      <c r="E71" s="21"/>
      <c r="F71" s="23"/>
    </row>
    <row r="72" spans="1:6" x14ac:dyDescent="0.25">
      <c r="A72" s="17"/>
      <c r="B72" s="29"/>
      <c r="C72" s="29"/>
      <c r="D72" s="18"/>
      <c r="E72" s="21"/>
      <c r="F72" s="23"/>
    </row>
    <row r="73" spans="1:6" x14ac:dyDescent="0.25">
      <c r="A73" s="17"/>
      <c r="B73" s="29"/>
      <c r="C73" s="29"/>
      <c r="D73" s="18"/>
      <c r="E73" s="21"/>
      <c r="F73" s="23"/>
    </row>
    <row r="74" spans="1:6" x14ac:dyDescent="0.25">
      <c r="A74" s="17"/>
      <c r="B74" s="29"/>
      <c r="C74" s="29"/>
      <c r="D74" s="18"/>
      <c r="E74" s="21"/>
      <c r="F74" s="23"/>
    </row>
    <row r="75" spans="1:6" x14ac:dyDescent="0.25">
      <c r="A75" s="17"/>
      <c r="B75" s="29"/>
      <c r="C75" s="29"/>
      <c r="D75" s="18"/>
      <c r="E75" s="21"/>
      <c r="F75" s="23"/>
    </row>
    <row r="76" spans="1:6" x14ac:dyDescent="0.25">
      <c r="A76" s="17"/>
      <c r="B76" s="29"/>
      <c r="C76" s="29"/>
      <c r="D76" s="18"/>
      <c r="E76" s="21"/>
      <c r="F76" s="23"/>
    </row>
    <row r="77" spans="1:6" x14ac:dyDescent="0.25">
      <c r="A77" s="17"/>
      <c r="B77" s="29"/>
      <c r="C77" s="29"/>
      <c r="D77" s="18"/>
      <c r="E77" s="21"/>
      <c r="F77" s="23"/>
    </row>
    <row r="78" spans="1:6" x14ac:dyDescent="0.25">
      <c r="A78" s="17"/>
      <c r="B78" s="29"/>
      <c r="C78" s="29"/>
      <c r="D78" s="18"/>
      <c r="E78" s="21"/>
      <c r="F78" s="23"/>
    </row>
    <row r="79" spans="1:6" x14ac:dyDescent="0.25">
      <c r="A79" s="17"/>
      <c r="B79" s="29"/>
      <c r="C79" s="29"/>
      <c r="D79" s="18"/>
      <c r="E79" s="21"/>
      <c r="F79" s="23"/>
    </row>
    <row r="80" spans="1:6" x14ac:dyDescent="0.25">
      <c r="A80" s="17"/>
      <c r="B80" s="29"/>
      <c r="C80" s="29"/>
      <c r="D80" s="18"/>
      <c r="E80" s="21"/>
      <c r="F80" s="23"/>
    </row>
    <row r="81" spans="1:6" x14ac:dyDescent="0.25">
      <c r="A81" s="17"/>
      <c r="B81" s="29"/>
      <c r="C81" s="29"/>
      <c r="D81" s="18"/>
      <c r="E81" s="21"/>
      <c r="F81" s="23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5" x14ac:dyDescent="0.25">
      <c r="A2" s="4" t="s">
        <v>41</v>
      </c>
      <c r="B2" s="4">
        <v>45.13</v>
      </c>
      <c r="C2" s="8">
        <v>-0.79787234042553101</v>
      </c>
      <c r="D2" s="28">
        <f>B2*C2/100</f>
        <v>-0.36007978723404216</v>
      </c>
    </row>
    <row r="3" spans="1:5" x14ac:dyDescent="0.25">
      <c r="A3" s="4" t="s">
        <v>38</v>
      </c>
      <c r="B3" s="4">
        <v>3.16</v>
      </c>
      <c r="C3" s="8">
        <v>3.9024390243902398</v>
      </c>
      <c r="D3" s="28">
        <f t="shared" ref="D3:D9" si="0">B3*C3/100</f>
        <v>0.12331707317073158</v>
      </c>
    </row>
    <row r="4" spans="1:5" x14ac:dyDescent="0.25">
      <c r="A4" s="4" t="s">
        <v>39</v>
      </c>
      <c r="B4" s="4">
        <v>7.0000000000000007E-2</v>
      </c>
      <c r="C4" s="8">
        <v>-9.9751861042183592</v>
      </c>
      <c r="D4" s="28">
        <f t="shared" si="0"/>
        <v>-6.9826302729528522E-3</v>
      </c>
    </row>
    <row r="5" spans="1:5" x14ac:dyDescent="0.25">
      <c r="A5" s="4" t="s">
        <v>40</v>
      </c>
      <c r="B5" s="4">
        <v>26.21</v>
      </c>
      <c r="C5" s="4">
        <v>2.95</v>
      </c>
      <c r="D5" s="28">
        <f t="shared" si="0"/>
        <v>0.77319500000000008</v>
      </c>
    </row>
    <row r="6" spans="1:5" x14ac:dyDescent="0.25">
      <c r="A6" s="4" t="s">
        <v>87</v>
      </c>
      <c r="B6" s="4">
        <v>5.29</v>
      </c>
      <c r="C6" s="4">
        <v>0.13</v>
      </c>
      <c r="D6" s="28">
        <f t="shared" si="0"/>
        <v>6.8769999999999994E-3</v>
      </c>
    </row>
    <row r="7" spans="1:5" x14ac:dyDescent="0.25">
      <c r="A7" s="4" t="s">
        <v>88</v>
      </c>
      <c r="B7" s="4">
        <v>0.43</v>
      </c>
      <c r="C7" s="4">
        <v>5.76</v>
      </c>
      <c r="D7" s="28">
        <f t="shared" si="0"/>
        <v>2.4767999999999998E-2</v>
      </c>
    </row>
    <row r="8" spans="1:5" x14ac:dyDescent="0.25">
      <c r="A8" s="4" t="s">
        <v>89</v>
      </c>
      <c r="B8" s="4">
        <v>0.13</v>
      </c>
      <c r="C8" s="4">
        <v>0.11</v>
      </c>
      <c r="D8" s="28">
        <f t="shared" si="0"/>
        <v>1.4300000000000001E-4</v>
      </c>
    </row>
    <row r="9" spans="1:5" x14ac:dyDescent="0.25">
      <c r="A9" s="4" t="s">
        <v>90</v>
      </c>
      <c r="B9" s="4">
        <v>0.03</v>
      </c>
      <c r="C9" s="4">
        <v>0.28000000000000003</v>
      </c>
      <c r="D9" s="28">
        <f t="shared" si="0"/>
        <v>8.4000000000000009E-5</v>
      </c>
      <c r="E9" s="4"/>
    </row>
    <row r="10" spans="1:5" x14ac:dyDescent="0.25">
      <c r="A10" s="12" t="s">
        <v>52</v>
      </c>
      <c r="B10" s="5">
        <f>B2++B3+B4+B5+B6+B7+B8+B9</f>
        <v>80.450000000000017</v>
      </c>
      <c r="C10" s="4"/>
      <c r="D10" s="6">
        <f>D2+D3+D4+D5+D6+D7+D8+D9</f>
        <v>0.56132165566373671</v>
      </c>
      <c r="E10" s="16"/>
    </row>
    <row r="11" spans="1:5" x14ac:dyDescent="0.25">
      <c r="A11" s="29"/>
      <c r="B11" s="29"/>
      <c r="C11" s="10"/>
      <c r="D11" s="10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22"/>
      <c r="B32" s="29"/>
      <c r="C32" s="29"/>
      <c r="D32" s="20"/>
      <c r="E32" s="20"/>
      <c r="F32" s="23"/>
    </row>
    <row r="33" spans="1:6" x14ac:dyDescent="0.25">
      <c r="A33" s="22"/>
      <c r="B33" s="29"/>
      <c r="C33" s="29"/>
      <c r="D33" s="20"/>
      <c r="E33" s="20"/>
      <c r="F33" s="23"/>
    </row>
    <row r="34" spans="1:6" x14ac:dyDescent="0.25">
      <c r="A34" s="22"/>
      <c r="B34" s="29"/>
      <c r="C34" s="29"/>
      <c r="D34" s="20"/>
      <c r="E34" s="20"/>
      <c r="F34" s="23"/>
    </row>
    <row r="35" spans="1:6" x14ac:dyDescent="0.25">
      <c r="A35" s="22"/>
      <c r="B35" s="29"/>
      <c r="C35" s="29"/>
      <c r="D35" s="20"/>
      <c r="E35" s="20"/>
      <c r="F35" s="23"/>
    </row>
    <row r="36" spans="1:6" x14ac:dyDescent="0.25">
      <c r="A36" s="22"/>
      <c r="B36" s="29"/>
      <c r="C36" s="29"/>
      <c r="D36" s="20"/>
      <c r="E36" s="20"/>
      <c r="F36" s="23"/>
    </row>
    <row r="37" spans="1:6" x14ac:dyDescent="0.25">
      <c r="A37" s="22"/>
      <c r="B37" s="29"/>
      <c r="C37" s="29"/>
      <c r="D37" s="20"/>
      <c r="E37" s="20"/>
      <c r="F37" s="23"/>
    </row>
    <row r="38" spans="1:6" x14ac:dyDescent="0.25">
      <c r="A38" s="22"/>
      <c r="B38" s="29"/>
      <c r="C38" s="29"/>
      <c r="D38" s="20"/>
      <c r="E38" s="20"/>
      <c r="F38" s="23"/>
    </row>
    <row r="39" spans="1:6" x14ac:dyDescent="0.25">
      <c r="A39" s="22"/>
      <c r="B39" s="29"/>
      <c r="C39" s="29"/>
      <c r="D39" s="20"/>
      <c r="E39" s="20"/>
      <c r="F39" s="23"/>
    </row>
    <row r="40" spans="1:6" x14ac:dyDescent="0.25">
      <c r="A40" s="22"/>
      <c r="B40" s="29"/>
      <c r="C40" s="29"/>
      <c r="D40" s="20"/>
      <c r="E40" s="20"/>
      <c r="F40" s="23"/>
    </row>
    <row r="41" spans="1:6" x14ac:dyDescent="0.25">
      <c r="A41" s="22"/>
      <c r="B41" s="29"/>
      <c r="C41" s="29"/>
      <c r="D41" s="20"/>
      <c r="E41" s="20"/>
      <c r="F41" s="23"/>
    </row>
    <row r="42" spans="1:6" x14ac:dyDescent="0.25">
      <c r="A42" s="22"/>
      <c r="B42" s="29"/>
      <c r="C42" s="29"/>
      <c r="D42" s="20"/>
      <c r="E42" s="20"/>
      <c r="F42" s="23"/>
    </row>
    <row r="43" spans="1:6" x14ac:dyDescent="0.25">
      <c r="A43" s="22"/>
      <c r="B43" s="29"/>
      <c r="C43" s="29"/>
      <c r="D43" s="20"/>
      <c r="E43" s="20"/>
      <c r="F43" s="23"/>
    </row>
    <row r="44" spans="1:6" x14ac:dyDescent="0.25">
      <c r="A44" s="22"/>
      <c r="B44" s="29"/>
      <c r="C44" s="29"/>
      <c r="D44" s="20"/>
      <c r="E44" s="20"/>
      <c r="F44" s="23"/>
    </row>
    <row r="45" spans="1:6" x14ac:dyDescent="0.25">
      <c r="A45" s="22"/>
      <c r="B45" s="29"/>
      <c r="C45" s="29"/>
      <c r="D45" s="20"/>
      <c r="E45" s="20"/>
      <c r="F45" s="23"/>
    </row>
    <row r="46" spans="1:6" x14ac:dyDescent="0.25">
      <c r="A46" s="22"/>
      <c r="B46" s="29"/>
      <c r="C46" s="29"/>
      <c r="D46" s="20"/>
      <c r="E46" s="20"/>
      <c r="F46" s="23"/>
    </row>
    <row r="47" spans="1:6" x14ac:dyDescent="0.25">
      <c r="A47" s="22"/>
      <c r="B47" s="29"/>
      <c r="C47" s="29"/>
      <c r="D47" s="20"/>
      <c r="E47" s="20"/>
      <c r="F47" s="23"/>
    </row>
    <row r="48" spans="1:6" x14ac:dyDescent="0.25">
      <c r="A48" s="22"/>
      <c r="B48" s="29"/>
      <c r="C48" s="29"/>
      <c r="D48" s="20"/>
      <c r="E48" s="20"/>
      <c r="F48" s="23"/>
    </row>
    <row r="49" spans="1:6" x14ac:dyDescent="0.25">
      <c r="A49" s="22"/>
      <c r="B49" s="29"/>
      <c r="C49" s="29"/>
      <c r="D49" s="20"/>
      <c r="E49" s="20"/>
      <c r="F49" s="23"/>
    </row>
    <row r="50" spans="1:6" x14ac:dyDescent="0.25">
      <c r="A50" s="22"/>
      <c r="B50" s="29"/>
      <c r="C50" s="29"/>
      <c r="D50" s="20"/>
      <c r="E50" s="20"/>
      <c r="F50" s="23"/>
    </row>
    <row r="51" spans="1:6" x14ac:dyDescent="0.25">
      <c r="A51" s="22"/>
      <c r="B51" s="29"/>
      <c r="C51" s="29"/>
      <c r="D51" s="20"/>
      <c r="E51" s="20"/>
      <c r="F51" s="23"/>
    </row>
    <row r="52" spans="1:6" x14ac:dyDescent="0.25">
      <c r="A52" s="22"/>
      <c r="B52" s="29"/>
      <c r="C52" s="29"/>
      <c r="D52" s="20"/>
      <c r="E52" s="20"/>
      <c r="F52" s="23"/>
    </row>
    <row r="53" spans="1:6" x14ac:dyDescent="0.25">
      <c r="A53" s="22"/>
      <c r="B53" s="29"/>
      <c r="C53" s="29"/>
      <c r="D53" s="20"/>
      <c r="E53" s="20"/>
      <c r="F53" s="23"/>
    </row>
    <row r="54" spans="1:6" x14ac:dyDescent="0.25">
      <c r="A54" s="22"/>
      <c r="B54" s="29"/>
      <c r="C54" s="29"/>
      <c r="D54" s="20"/>
      <c r="E54" s="20"/>
      <c r="F54" s="23"/>
    </row>
    <row r="55" spans="1:6" x14ac:dyDescent="0.25">
      <c r="A55" s="22"/>
      <c r="B55" s="29"/>
      <c r="C55" s="29"/>
      <c r="D55" s="20"/>
      <c r="E55" s="20"/>
      <c r="F55" s="23"/>
    </row>
    <row r="56" spans="1:6" x14ac:dyDescent="0.25">
      <c r="A56" s="22"/>
      <c r="B56" s="29"/>
      <c r="C56" s="29"/>
      <c r="D56" s="20"/>
      <c r="E56" s="20"/>
      <c r="F56" s="23"/>
    </row>
    <row r="57" spans="1:6" x14ac:dyDescent="0.25">
      <c r="A57" s="22"/>
      <c r="B57" s="29"/>
      <c r="C57" s="29"/>
      <c r="D57" s="20"/>
      <c r="E57" s="20"/>
      <c r="F57" s="23"/>
    </row>
    <row r="58" spans="1:6" x14ac:dyDescent="0.25">
      <c r="A58" s="22"/>
      <c r="B58" s="29"/>
      <c r="C58" s="29"/>
      <c r="D58" s="20"/>
      <c r="E58" s="20"/>
      <c r="F58" s="23"/>
    </row>
    <row r="59" spans="1:6" x14ac:dyDescent="0.25">
      <c r="A59" s="22"/>
      <c r="B59" s="29"/>
      <c r="C59" s="29"/>
      <c r="D59" s="20"/>
      <c r="E59" s="20"/>
      <c r="F59" s="23"/>
    </row>
    <row r="60" spans="1:6" x14ac:dyDescent="0.25">
      <c r="A60" s="22"/>
      <c r="B60" s="29"/>
      <c r="C60" s="29"/>
      <c r="D60" s="20"/>
      <c r="E60" s="20"/>
      <c r="F60" s="23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A74" s="22"/>
      <c r="B74" s="29"/>
      <c r="C74" s="29"/>
      <c r="D74" s="20"/>
      <c r="E74" s="20"/>
      <c r="F74" s="23"/>
    </row>
    <row r="75" spans="1:6" x14ac:dyDescent="0.25">
      <c r="A75" s="22"/>
      <c r="B75" s="29"/>
      <c r="C75" s="29"/>
      <c r="D75" s="20"/>
      <c r="E75" s="20"/>
      <c r="F75" s="23"/>
    </row>
    <row r="76" spans="1:6" x14ac:dyDescent="0.25">
      <c r="A76" s="22"/>
      <c r="B76" s="29"/>
      <c r="C76" s="29"/>
      <c r="D76" s="20"/>
      <c r="E76" s="20"/>
      <c r="F76" s="23"/>
    </row>
    <row r="77" spans="1:6" x14ac:dyDescent="0.25">
      <c r="A77" s="22"/>
      <c r="B77" s="29"/>
      <c r="C77" s="29"/>
      <c r="D77" s="20"/>
      <c r="E77" s="20"/>
      <c r="F77" s="23"/>
    </row>
    <row r="78" spans="1:6" x14ac:dyDescent="0.25">
      <c r="A78" s="22"/>
      <c r="B78" s="29"/>
      <c r="C78" s="29"/>
      <c r="D78" s="20"/>
      <c r="E78" s="20"/>
      <c r="F78" s="23"/>
    </row>
    <row r="79" spans="1:6" x14ac:dyDescent="0.25">
      <c r="A79" s="22"/>
      <c r="B79" s="29"/>
      <c r="C79" s="29"/>
      <c r="D79" s="20"/>
      <c r="E79" s="20"/>
      <c r="F79" s="23"/>
    </row>
    <row r="80" spans="1:6" x14ac:dyDescent="0.25">
      <c r="A80" s="22"/>
      <c r="B80" s="29"/>
      <c r="C80" s="29"/>
      <c r="D80" s="20"/>
      <c r="E80" s="20"/>
      <c r="F80" s="23"/>
    </row>
    <row r="81" spans="1:6" x14ac:dyDescent="0.25">
      <c r="A81" s="22"/>
      <c r="B81" s="29"/>
      <c r="C81" s="29"/>
      <c r="D81" s="20"/>
      <c r="E81" s="20"/>
      <c r="F81" s="23"/>
    </row>
    <row r="82" spans="1:6" x14ac:dyDescent="0.25">
      <c r="A82" s="22"/>
      <c r="B82" s="29"/>
      <c r="C82" s="29"/>
      <c r="D82" s="20"/>
      <c r="E82" s="20"/>
      <c r="F82" s="23"/>
    </row>
    <row r="83" spans="1:6" x14ac:dyDescent="0.25">
      <c r="A83" s="22"/>
      <c r="B83" s="29"/>
      <c r="C83" s="29"/>
      <c r="D83" s="20"/>
      <c r="E83" s="20"/>
      <c r="F83" s="23"/>
    </row>
    <row r="84" spans="1:6" x14ac:dyDescent="0.25">
      <c r="A84" s="22"/>
      <c r="B84" s="29"/>
      <c r="C84" s="29"/>
      <c r="D84" s="20"/>
      <c r="E84" s="20"/>
      <c r="F84" s="23"/>
    </row>
    <row r="85" spans="1:6" x14ac:dyDescent="0.25">
      <c r="A85" s="22"/>
      <c r="B85" s="29"/>
      <c r="C85" s="29"/>
      <c r="D85" s="20"/>
      <c r="E85" s="20"/>
      <c r="F85" s="23"/>
    </row>
    <row r="86" spans="1:6" x14ac:dyDescent="0.25">
      <c r="A86" s="22"/>
      <c r="B86" s="29"/>
      <c r="C86" s="29"/>
      <c r="D86" s="20"/>
      <c r="E86" s="20"/>
      <c r="F86" s="23"/>
    </row>
    <row r="87" spans="1:6" x14ac:dyDescent="0.25">
      <c r="A87" s="22"/>
      <c r="B87" s="29"/>
      <c r="C87" s="29"/>
      <c r="D87" s="20"/>
      <c r="E87" s="20"/>
      <c r="F87" s="23"/>
    </row>
    <row r="88" spans="1:6" x14ac:dyDescent="0.25">
      <c r="A88" s="22"/>
      <c r="B88" s="29"/>
      <c r="C88" s="29"/>
      <c r="D88" s="20"/>
      <c r="E88" s="20"/>
      <c r="F88" s="23"/>
    </row>
    <row r="89" spans="1:6" x14ac:dyDescent="0.25">
      <c r="A89" s="22"/>
      <c r="B89" s="29"/>
      <c r="C89" s="29"/>
      <c r="D89" s="20"/>
      <c r="E89" s="20"/>
      <c r="F89" s="23"/>
    </row>
    <row r="90" spans="1:6" x14ac:dyDescent="0.25">
      <c r="A90" s="22"/>
      <c r="B90" s="29"/>
      <c r="C90" s="29"/>
      <c r="D90" s="20"/>
      <c r="E90" s="20"/>
      <c r="F90" s="23"/>
    </row>
    <row r="91" spans="1:6" x14ac:dyDescent="0.25">
      <c r="A91" s="22"/>
      <c r="B91" s="29"/>
      <c r="C91" s="29"/>
      <c r="D91" s="20"/>
      <c r="E91" s="20"/>
      <c r="F91" s="23"/>
    </row>
    <row r="92" spans="1:6" x14ac:dyDescent="0.25">
      <c r="A92" s="22"/>
      <c r="B92" s="29"/>
      <c r="C92" s="29"/>
      <c r="D92" s="20"/>
      <c r="E92" s="20"/>
      <c r="F92" s="23"/>
    </row>
    <row r="93" spans="1:6" x14ac:dyDescent="0.25">
      <c r="A93" s="22"/>
      <c r="B93" s="29"/>
      <c r="C93" s="29"/>
      <c r="D93" s="20"/>
      <c r="E93" s="20"/>
      <c r="F93" s="23"/>
    </row>
    <row r="94" spans="1:6" x14ac:dyDescent="0.25">
      <c r="A94" s="22"/>
      <c r="B94" s="29"/>
      <c r="C94" s="29"/>
      <c r="D94" s="20"/>
      <c r="E94" s="20"/>
      <c r="F94" s="23"/>
    </row>
    <row r="95" spans="1:6" x14ac:dyDescent="0.25">
      <c r="A95" s="22"/>
      <c r="B95" s="29"/>
      <c r="C95" s="29"/>
      <c r="D95" s="20"/>
      <c r="E95" s="20"/>
      <c r="F95" s="23"/>
    </row>
    <row r="96" spans="1:6" x14ac:dyDescent="0.25">
      <c r="A96" s="22"/>
      <c r="B96" s="29"/>
      <c r="C96" s="29"/>
      <c r="D96" s="20"/>
      <c r="E96" s="20"/>
      <c r="F96" s="23"/>
    </row>
    <row r="97" spans="1:6" x14ac:dyDescent="0.25">
      <c r="A97" s="22"/>
      <c r="B97" s="29"/>
      <c r="C97" s="29"/>
      <c r="D97" s="20"/>
      <c r="E97" s="20"/>
      <c r="F97" s="23"/>
    </row>
    <row r="98" spans="1:6" x14ac:dyDescent="0.25">
      <c r="A98" s="22"/>
      <c r="B98" s="29"/>
      <c r="C98" s="29"/>
      <c r="D98" s="20"/>
      <c r="E98" s="20"/>
      <c r="F98" s="23"/>
    </row>
    <row r="99" spans="1:6" x14ac:dyDescent="0.25">
      <c r="A99" s="22"/>
      <c r="B99" s="29"/>
      <c r="C99" s="29"/>
      <c r="D99" s="20"/>
      <c r="E99" s="20"/>
      <c r="F99" s="23"/>
    </row>
    <row r="100" spans="1:6" x14ac:dyDescent="0.25">
      <c r="A100" s="22"/>
      <c r="B100" s="29"/>
      <c r="C100" s="29"/>
      <c r="D100" s="20"/>
      <c r="E100" s="20"/>
      <c r="F100" s="23"/>
    </row>
    <row r="101" spans="1:6" x14ac:dyDescent="0.25">
      <c r="A101" s="22"/>
      <c r="B101" s="29"/>
      <c r="C101" s="29"/>
      <c r="D101" s="20"/>
      <c r="E101" s="20"/>
      <c r="F101" s="23"/>
    </row>
    <row r="102" spans="1:6" x14ac:dyDescent="0.25">
      <c r="A102" s="22"/>
      <c r="B102" s="29"/>
      <c r="C102" s="29"/>
      <c r="D102" s="20"/>
      <c r="E102" s="20"/>
      <c r="F102" s="23"/>
    </row>
    <row r="103" spans="1:6" x14ac:dyDescent="0.25">
      <c r="A103" s="22"/>
      <c r="B103" s="29"/>
      <c r="C103" s="29"/>
      <c r="D103" s="20"/>
      <c r="E103" s="20"/>
      <c r="F103" s="23"/>
    </row>
    <row r="104" spans="1:6" x14ac:dyDescent="0.25">
      <c r="A104" s="22"/>
      <c r="B104" s="29"/>
      <c r="C104" s="29"/>
      <c r="D104" s="20"/>
      <c r="E104" s="20"/>
      <c r="F104" s="23"/>
    </row>
    <row r="105" spans="1:6" x14ac:dyDescent="0.25">
      <c r="A105" s="22"/>
      <c r="B105" s="29"/>
      <c r="C105" s="29"/>
      <c r="D105" s="20"/>
      <c r="E105" s="20"/>
      <c r="F105" s="23"/>
    </row>
    <row r="106" spans="1:6" x14ac:dyDescent="0.25">
      <c r="A106" s="22"/>
      <c r="B106" s="29"/>
      <c r="C106" s="29"/>
      <c r="D106" s="20"/>
      <c r="E106" s="20"/>
      <c r="F106" s="23"/>
    </row>
    <row r="107" spans="1:6" x14ac:dyDescent="0.25">
      <c r="A107" s="22"/>
      <c r="B107" s="29"/>
      <c r="C107" s="29"/>
      <c r="D107" s="20"/>
      <c r="E107" s="20"/>
      <c r="F107" s="23"/>
    </row>
    <row r="108" spans="1:6" x14ac:dyDescent="0.25">
      <c r="A108" s="22"/>
      <c r="B108" s="29"/>
      <c r="C108" s="29"/>
      <c r="D108" s="20"/>
      <c r="E108" s="20"/>
      <c r="F108" s="23"/>
    </row>
    <row r="109" spans="1:6" x14ac:dyDescent="0.25">
      <c r="A109" s="22"/>
      <c r="B109" s="29"/>
      <c r="C109" s="29"/>
      <c r="D109" s="20"/>
      <c r="E109" s="20"/>
      <c r="F109" s="23"/>
    </row>
    <row r="110" spans="1:6" x14ac:dyDescent="0.25">
      <c r="A110" s="22"/>
      <c r="B110" s="29"/>
      <c r="C110" s="29"/>
      <c r="D110" s="20"/>
      <c r="E110" s="20"/>
      <c r="F110" s="23"/>
    </row>
    <row r="111" spans="1:6" x14ac:dyDescent="0.25">
      <c r="A111" s="22"/>
      <c r="B111" s="29"/>
      <c r="C111" s="29"/>
      <c r="D111" s="20"/>
      <c r="E111" s="20"/>
      <c r="F111" s="23"/>
    </row>
    <row r="112" spans="1:6" x14ac:dyDescent="0.25">
      <c r="A112" s="22"/>
      <c r="B112" s="29"/>
      <c r="C112" s="29"/>
      <c r="D112" s="20"/>
      <c r="E112" s="20"/>
      <c r="F112" s="23"/>
    </row>
    <row r="113" spans="1:6" x14ac:dyDescent="0.25">
      <c r="A113" s="22"/>
      <c r="B113" s="29"/>
      <c r="C113" s="29"/>
      <c r="D113" s="20"/>
      <c r="E113" s="20"/>
      <c r="F113" s="23"/>
    </row>
    <row r="114" spans="1:6" x14ac:dyDescent="0.25">
      <c r="A114" s="22"/>
      <c r="B114" s="29"/>
      <c r="C114" s="29"/>
      <c r="D114" s="20"/>
      <c r="E114" s="20"/>
      <c r="F114" s="23"/>
    </row>
    <row r="115" spans="1:6" x14ac:dyDescent="0.25">
      <c r="A115" s="22"/>
      <c r="B115" s="29"/>
      <c r="C115" s="29"/>
      <c r="D115" s="20"/>
      <c r="E115" s="20"/>
      <c r="F115" s="23"/>
    </row>
    <row r="116" spans="1:6" x14ac:dyDescent="0.25">
      <c r="A116" s="22"/>
      <c r="B116" s="29"/>
      <c r="C116" s="29"/>
      <c r="D116" s="20"/>
      <c r="E116" s="20"/>
      <c r="F116" s="23"/>
    </row>
    <row r="117" spans="1:6" x14ac:dyDescent="0.25">
      <c r="A117" s="22"/>
      <c r="B117" s="29"/>
      <c r="C117" s="29"/>
      <c r="D117" s="20"/>
      <c r="E117" s="20"/>
      <c r="F117" s="23"/>
    </row>
    <row r="118" spans="1:6" x14ac:dyDescent="0.25">
      <c r="A118" s="22"/>
      <c r="B118" s="29"/>
      <c r="C118" s="29"/>
      <c r="D118" s="20"/>
      <c r="E118" s="20"/>
      <c r="F118" s="23"/>
    </row>
    <row r="119" spans="1:6" x14ac:dyDescent="0.25">
      <c r="A119" s="22"/>
      <c r="B119" s="29"/>
      <c r="C119" s="29"/>
      <c r="D119" s="20"/>
      <c r="E119" s="20"/>
      <c r="F119" s="23"/>
    </row>
    <row r="120" spans="1:6" x14ac:dyDescent="0.25">
      <c r="A120" s="22"/>
      <c r="B120" s="29"/>
      <c r="C120" s="29"/>
      <c r="D120" s="20"/>
      <c r="E120" s="20"/>
      <c r="F120" s="23"/>
    </row>
    <row r="121" spans="1:6" x14ac:dyDescent="0.25">
      <c r="A121" s="22"/>
      <c r="B121" s="29"/>
      <c r="C121" s="29"/>
      <c r="D121" s="20"/>
      <c r="E121" s="20"/>
      <c r="F121" s="23"/>
    </row>
    <row r="122" spans="1:6" x14ac:dyDescent="0.25">
      <c r="A122" s="22"/>
      <c r="B122" s="29"/>
      <c r="C122" s="29"/>
      <c r="D122" s="20"/>
      <c r="E122" s="20"/>
      <c r="F122" s="23"/>
    </row>
    <row r="123" spans="1:6" x14ac:dyDescent="0.25">
      <c r="A123" s="22"/>
      <c r="B123" s="29"/>
      <c r="C123" s="29"/>
      <c r="D123" s="20"/>
      <c r="E123" s="20"/>
      <c r="F123" s="23"/>
    </row>
    <row r="124" spans="1:6" x14ac:dyDescent="0.25">
      <c r="A124" s="22"/>
      <c r="B124" s="29"/>
      <c r="C124" s="29"/>
      <c r="D124" s="20"/>
      <c r="E124" s="20"/>
      <c r="F124" s="23"/>
    </row>
    <row r="125" spans="1:6" x14ac:dyDescent="0.25">
      <c r="A125" s="22"/>
      <c r="B125" s="29"/>
      <c r="C125" s="29"/>
      <c r="D125" s="20"/>
      <c r="E125" s="20"/>
      <c r="F125" s="23"/>
    </row>
    <row r="126" spans="1:6" x14ac:dyDescent="0.25">
      <c r="A126" s="22"/>
      <c r="B126" s="29"/>
      <c r="C126" s="29"/>
      <c r="D126" s="20"/>
      <c r="E126" s="20"/>
      <c r="F126" s="23"/>
    </row>
    <row r="127" spans="1:6" x14ac:dyDescent="0.25">
      <c r="A127" s="22"/>
      <c r="B127" s="29"/>
      <c r="C127" s="29"/>
      <c r="D127" s="20"/>
      <c r="E127" s="20"/>
      <c r="F127" s="23"/>
    </row>
    <row r="128" spans="1:6" x14ac:dyDescent="0.25">
      <c r="A128" s="22"/>
      <c r="B128" s="29"/>
      <c r="C128" s="29"/>
      <c r="D128" s="20"/>
      <c r="E128" s="20"/>
      <c r="F128" s="23"/>
    </row>
    <row r="129" spans="1:6" x14ac:dyDescent="0.25">
      <c r="A129" s="22"/>
      <c r="B129" s="29"/>
      <c r="C129" s="29"/>
      <c r="D129" s="20"/>
      <c r="E129" s="20"/>
      <c r="F129" s="23"/>
    </row>
    <row r="130" spans="1:6" x14ac:dyDescent="0.25">
      <c r="A130" s="22"/>
      <c r="B130" s="29"/>
      <c r="C130" s="29"/>
      <c r="D130" s="20"/>
      <c r="E130" s="20"/>
      <c r="F130" s="23"/>
    </row>
    <row r="131" spans="1:6" x14ac:dyDescent="0.25">
      <c r="A131" s="22"/>
      <c r="B131" s="29"/>
      <c r="C131" s="29"/>
      <c r="D131" s="20"/>
      <c r="E131" s="20"/>
      <c r="F131" s="23"/>
    </row>
    <row r="132" spans="1:6" x14ac:dyDescent="0.25">
      <c r="A132" s="22"/>
      <c r="B132" s="29"/>
      <c r="C132" s="29"/>
      <c r="D132" s="20"/>
      <c r="E132" s="20"/>
      <c r="F132" s="23"/>
    </row>
    <row r="133" spans="1:6" x14ac:dyDescent="0.25">
      <c r="A133" s="22"/>
      <c r="B133" s="29"/>
      <c r="C133" s="29"/>
      <c r="D133" s="20"/>
      <c r="E133" s="20"/>
      <c r="F133" s="23"/>
    </row>
    <row r="134" spans="1:6" x14ac:dyDescent="0.25">
      <c r="A134" s="22"/>
      <c r="B134" s="29"/>
      <c r="C134" s="29"/>
      <c r="D134" s="20"/>
      <c r="E134" s="20"/>
      <c r="F134" s="23"/>
    </row>
    <row r="135" spans="1:6" x14ac:dyDescent="0.25">
      <c r="A135" s="22"/>
      <c r="B135" s="29"/>
      <c r="C135" s="29"/>
      <c r="D135" s="20"/>
      <c r="E135" s="20"/>
      <c r="F135" s="23"/>
    </row>
    <row r="136" spans="1:6" x14ac:dyDescent="0.25">
      <c r="A136" s="22"/>
      <c r="B136" s="29"/>
      <c r="C136" s="29"/>
      <c r="D136" s="20"/>
      <c r="E136" s="20"/>
      <c r="F136" s="23"/>
    </row>
    <row r="137" spans="1:6" x14ac:dyDescent="0.25">
      <c r="A137" s="22"/>
      <c r="B137" s="29"/>
      <c r="C137" s="29"/>
      <c r="D137" s="20"/>
      <c r="E137" s="20"/>
      <c r="F137" s="23"/>
    </row>
    <row r="138" spans="1:6" x14ac:dyDescent="0.25">
      <c r="A138" s="22"/>
      <c r="B138" s="29"/>
      <c r="C138" s="29"/>
      <c r="D138" s="20"/>
      <c r="E138" s="20"/>
      <c r="F138" s="23"/>
    </row>
    <row r="139" spans="1:6" x14ac:dyDescent="0.25">
      <c r="A139" s="22"/>
      <c r="B139" s="29"/>
      <c r="C139" s="29"/>
      <c r="D139" s="20"/>
      <c r="E139" s="20"/>
      <c r="F139" s="23"/>
    </row>
    <row r="140" spans="1:6" x14ac:dyDescent="0.25">
      <c r="A140" s="22"/>
      <c r="B140" s="29"/>
      <c r="C140" s="29"/>
      <c r="D140" s="20"/>
      <c r="E140" s="20"/>
      <c r="F140" s="23"/>
    </row>
    <row r="141" spans="1:6" x14ac:dyDescent="0.25">
      <c r="A141" s="22"/>
      <c r="B141" s="29"/>
      <c r="C141" s="29"/>
      <c r="D141" s="20"/>
      <c r="E141" s="20"/>
      <c r="F141" s="23"/>
    </row>
  </sheetData>
  <mergeCells count="112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78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t="s">
        <v>0</v>
      </c>
      <c r="B2" s="4">
        <v>7.82</v>
      </c>
      <c r="C2" s="3">
        <v>2.38095238095238</v>
      </c>
      <c r="D2" s="7">
        <f>B2*C2/100</f>
        <v>0.18619047619047613</v>
      </c>
    </row>
    <row r="3" spans="1:4" x14ac:dyDescent="0.25">
      <c r="A3" t="s">
        <v>1</v>
      </c>
      <c r="B3" s="4">
        <v>7.45</v>
      </c>
      <c r="C3" s="3">
        <v>0</v>
      </c>
      <c r="D3" s="7">
        <f t="shared" ref="D3:D49" si="0">B3*C3/100</f>
        <v>0</v>
      </c>
    </row>
    <row r="4" spans="1:4" x14ac:dyDescent="0.25">
      <c r="A4" t="s">
        <v>2</v>
      </c>
      <c r="B4" s="4">
        <v>6.92</v>
      </c>
      <c r="C4" s="3">
        <v>-2.2777777777777701</v>
      </c>
      <c r="D4" s="7">
        <f t="shared" si="0"/>
        <v>-0.15762222222222169</v>
      </c>
    </row>
    <row r="5" spans="1:4" x14ac:dyDescent="0.25">
      <c r="A5" t="s">
        <v>3</v>
      </c>
      <c r="B5" s="4">
        <v>5.74</v>
      </c>
      <c r="C5" s="3">
        <v>-1.7161716171617101</v>
      </c>
      <c r="D5" s="7">
        <f t="shared" si="0"/>
        <v>-9.8508250825082161E-2</v>
      </c>
    </row>
    <row r="6" spans="1:4" x14ac:dyDescent="0.25">
      <c r="A6" t="s">
        <v>83</v>
      </c>
      <c r="B6" s="4">
        <v>5.13</v>
      </c>
      <c r="C6" s="3">
        <v>-0.80691642651296802</v>
      </c>
      <c r="D6" s="7">
        <f t="shared" si="0"/>
        <v>-4.1394812680115259E-2</v>
      </c>
    </row>
    <row r="7" spans="1:4" x14ac:dyDescent="0.25">
      <c r="A7" t="s">
        <v>42</v>
      </c>
      <c r="B7" s="4">
        <v>7.52</v>
      </c>
      <c r="C7" s="3">
        <v>1.05633802816901</v>
      </c>
      <c r="D7" s="7">
        <f t="shared" si="0"/>
        <v>7.9436619718309551E-2</v>
      </c>
    </row>
    <row r="8" spans="1:4" x14ac:dyDescent="0.25">
      <c r="A8" t="s">
        <v>53</v>
      </c>
      <c r="B8" s="25">
        <v>3.83</v>
      </c>
      <c r="C8" s="26">
        <v>-0.37493304767005797</v>
      </c>
      <c r="D8" s="7">
        <f t="shared" si="0"/>
        <v>-1.4359935725763219E-2</v>
      </c>
    </row>
    <row r="9" spans="1:4" x14ac:dyDescent="0.25">
      <c r="A9" t="s">
        <v>6</v>
      </c>
      <c r="B9" s="4">
        <v>3.81</v>
      </c>
      <c r="C9" s="3">
        <v>1.61177295024526</v>
      </c>
      <c r="D9" s="7">
        <f t="shared" si="0"/>
        <v>6.1408549404344405E-2</v>
      </c>
    </row>
    <row r="10" spans="1:4" x14ac:dyDescent="0.25">
      <c r="A10" t="s">
        <v>5</v>
      </c>
      <c r="B10" s="4">
        <v>3.35</v>
      </c>
      <c r="C10" s="3">
        <v>-0.29154518950437303</v>
      </c>
      <c r="D10" s="7">
        <f t="shared" si="0"/>
        <v>-9.7667638483964966E-3</v>
      </c>
    </row>
    <row r="11" spans="1:4" x14ac:dyDescent="0.25">
      <c r="A11" t="s">
        <v>43</v>
      </c>
      <c r="B11" s="4">
        <v>3.88</v>
      </c>
      <c r="C11" s="3">
        <v>-4.0165386887182501</v>
      </c>
      <c r="D11" s="7">
        <f t="shared" si="0"/>
        <v>-0.15584170112226808</v>
      </c>
    </row>
    <row r="12" spans="1:4" x14ac:dyDescent="0.25">
      <c r="A12" t="s">
        <v>4</v>
      </c>
      <c r="B12" s="4">
        <v>4.71</v>
      </c>
      <c r="C12" s="27">
        <v>4.4897959183673404</v>
      </c>
      <c r="D12" s="7">
        <f t="shared" si="0"/>
        <v>0.21146938775510171</v>
      </c>
    </row>
    <row r="13" spans="1:4" x14ac:dyDescent="0.25">
      <c r="A13" t="s">
        <v>7</v>
      </c>
      <c r="B13" s="25">
        <v>2.4900000000000002</v>
      </c>
      <c r="C13" s="3">
        <v>-0.40887850467289699</v>
      </c>
      <c r="D13" s="7">
        <f t="shared" si="0"/>
        <v>-1.0181074766355136E-2</v>
      </c>
    </row>
    <row r="14" spans="1:4" x14ac:dyDescent="0.25">
      <c r="A14" t="s">
        <v>91</v>
      </c>
      <c r="B14" s="25">
        <v>2.14</v>
      </c>
      <c r="C14" s="3">
        <v>-2.8296849973304798</v>
      </c>
      <c r="D14" s="7">
        <f t="shared" si="0"/>
        <v>-6.0555258942872274E-2</v>
      </c>
    </row>
    <row r="15" spans="1:4" x14ac:dyDescent="0.25">
      <c r="A15" t="s">
        <v>21</v>
      </c>
      <c r="B15" s="25">
        <v>1.77</v>
      </c>
      <c r="C15" s="26">
        <v>1.4591439688715899</v>
      </c>
      <c r="D15" s="7">
        <f t="shared" si="0"/>
        <v>2.5826848249027142E-2</v>
      </c>
    </row>
    <row r="16" spans="1:4" x14ac:dyDescent="0.25">
      <c r="A16" t="s">
        <v>92</v>
      </c>
      <c r="B16" s="4">
        <v>1.38</v>
      </c>
      <c r="C16" s="3">
        <v>0</v>
      </c>
      <c r="D16" s="7">
        <f t="shared" si="0"/>
        <v>0</v>
      </c>
    </row>
    <row r="17" spans="1:4" x14ac:dyDescent="0.25">
      <c r="A17" t="s">
        <v>51</v>
      </c>
      <c r="B17" s="4">
        <v>1.61</v>
      </c>
      <c r="C17" s="3">
        <v>0.104986876640419</v>
      </c>
      <c r="D17" s="7">
        <f t="shared" si="0"/>
        <v>1.6902887139107461E-3</v>
      </c>
    </row>
    <row r="18" spans="1:4" x14ac:dyDescent="0.25">
      <c r="A18" t="s">
        <v>16</v>
      </c>
      <c r="B18" s="4">
        <v>1.58</v>
      </c>
      <c r="C18" s="3">
        <v>-8.29875518672199E-2</v>
      </c>
      <c r="D18" s="7">
        <f t="shared" si="0"/>
        <v>-1.3112033195020745E-3</v>
      </c>
    </row>
    <row r="19" spans="1:4" x14ac:dyDescent="0.25">
      <c r="A19" t="s">
        <v>31</v>
      </c>
      <c r="B19" s="4">
        <v>1.54</v>
      </c>
      <c r="C19" s="3">
        <v>-6.6844919786096205E-2</v>
      </c>
      <c r="D19" s="7">
        <f t="shared" si="0"/>
        <v>-1.0294117647058816E-3</v>
      </c>
    </row>
    <row r="20" spans="1:4" x14ac:dyDescent="0.25">
      <c r="A20" t="s">
        <v>55</v>
      </c>
      <c r="B20" s="4">
        <v>1.1000000000000001</v>
      </c>
      <c r="C20" s="3">
        <v>0.46997389033942499</v>
      </c>
      <c r="D20" s="7">
        <f t="shared" si="0"/>
        <v>5.1697127937336751E-3</v>
      </c>
    </row>
    <row r="21" spans="1:4" x14ac:dyDescent="0.25">
      <c r="A21" t="s">
        <v>23</v>
      </c>
      <c r="B21" s="4">
        <v>1.06</v>
      </c>
      <c r="C21" s="3">
        <v>2.49584026622296</v>
      </c>
      <c r="D21" s="7">
        <f t="shared" si="0"/>
        <v>2.6455906821963374E-2</v>
      </c>
    </row>
    <row r="22" spans="1:4" x14ac:dyDescent="0.25">
      <c r="A22" t="s">
        <v>24</v>
      </c>
      <c r="B22" s="4">
        <v>0.99</v>
      </c>
      <c r="C22" s="3">
        <v>2.01834862385321</v>
      </c>
      <c r="D22" s="7">
        <f t="shared" si="0"/>
        <v>1.998165137614678E-2</v>
      </c>
    </row>
    <row r="23" spans="1:4" x14ac:dyDescent="0.25">
      <c r="A23" t="s">
        <v>56</v>
      </c>
      <c r="B23" s="25">
        <v>0.98</v>
      </c>
      <c r="C23" s="26">
        <v>5.4083288263926402E-2</v>
      </c>
      <c r="D23" s="7">
        <f t="shared" si="0"/>
        <v>5.3001622498647868E-4</v>
      </c>
    </row>
    <row r="24" spans="1:4" x14ac:dyDescent="0.25">
      <c r="A24" t="s">
        <v>26</v>
      </c>
      <c r="B24" s="25">
        <v>0.82</v>
      </c>
      <c r="C24" s="26">
        <v>1.3381995133819899</v>
      </c>
      <c r="D24" s="7">
        <f t="shared" si="0"/>
        <v>1.0973236009732316E-2</v>
      </c>
    </row>
    <row r="25" spans="1:4" x14ac:dyDescent="0.25">
      <c r="A25" t="s">
        <v>25</v>
      </c>
      <c r="B25" s="25">
        <v>0.88</v>
      </c>
      <c r="C25" s="26">
        <v>8.0775444264943402E-2</v>
      </c>
      <c r="D25" s="7">
        <f t="shared" si="0"/>
        <v>7.1082390953150195E-4</v>
      </c>
    </row>
    <row r="26" spans="1:4" x14ac:dyDescent="0.25">
      <c r="A26" t="s">
        <v>57</v>
      </c>
      <c r="B26" s="25">
        <v>0.72</v>
      </c>
      <c r="C26" s="26">
        <v>0.70043103448275801</v>
      </c>
      <c r="D26" s="7">
        <f t="shared" si="0"/>
        <v>5.0431034482758576E-3</v>
      </c>
    </row>
    <row r="27" spans="1:4" x14ac:dyDescent="0.25">
      <c r="A27" t="s">
        <v>19</v>
      </c>
      <c r="B27" s="25">
        <v>0.8</v>
      </c>
      <c r="C27" s="26">
        <v>0.72254335260115599</v>
      </c>
      <c r="D27" s="7">
        <f t="shared" si="0"/>
        <v>5.7803468208092483E-3</v>
      </c>
    </row>
    <row r="28" spans="1:4" x14ac:dyDescent="0.25">
      <c r="A28" t="s">
        <v>58</v>
      </c>
      <c r="B28" s="25">
        <v>0.75</v>
      </c>
      <c r="C28" s="26">
        <v>0.47003525264394802</v>
      </c>
      <c r="D28" s="7">
        <f t="shared" si="0"/>
        <v>3.5252643948296102E-3</v>
      </c>
    </row>
    <row r="29" spans="1:4" x14ac:dyDescent="0.25">
      <c r="A29" t="s">
        <v>54</v>
      </c>
      <c r="B29" s="25">
        <v>0.6</v>
      </c>
      <c r="C29" s="26">
        <v>4.5711060948081199</v>
      </c>
      <c r="D29" s="7">
        <f t="shared" si="0"/>
        <v>2.7426636568848715E-2</v>
      </c>
    </row>
    <row r="30" spans="1:4" x14ac:dyDescent="0.25">
      <c r="A30" t="s">
        <v>49</v>
      </c>
      <c r="B30" s="25">
        <v>0.55000000000000004</v>
      </c>
      <c r="C30" s="26">
        <v>1.0840108401084001</v>
      </c>
      <c r="D30" s="7">
        <f t="shared" si="0"/>
        <v>5.9620596205962008E-3</v>
      </c>
    </row>
    <row r="31" spans="1:4" x14ac:dyDescent="0.25">
      <c r="A31" t="s">
        <v>62</v>
      </c>
      <c r="B31" s="25">
        <v>0.52</v>
      </c>
      <c r="C31" s="26">
        <v>0.67360685854255897</v>
      </c>
      <c r="D31" s="7">
        <f t="shared" si="0"/>
        <v>3.5027556644213072E-3</v>
      </c>
    </row>
    <row r="32" spans="1:4" x14ac:dyDescent="0.25">
      <c r="A32" t="s">
        <v>28</v>
      </c>
      <c r="B32" s="25">
        <v>0.5</v>
      </c>
      <c r="C32" s="26">
        <v>0.46403712296983701</v>
      </c>
      <c r="D32" s="7">
        <f t="shared" si="0"/>
        <v>2.3201856148491852E-3</v>
      </c>
    </row>
    <row r="33" spans="1:4" x14ac:dyDescent="0.25">
      <c r="A33" t="s">
        <v>60</v>
      </c>
      <c r="B33" s="25">
        <v>0.48</v>
      </c>
      <c r="C33" s="26">
        <v>-0.19398642095053301</v>
      </c>
      <c r="D33" s="7">
        <f t="shared" si="0"/>
        <v>-9.3113482056255846E-4</v>
      </c>
    </row>
    <row r="34" spans="1:4" x14ac:dyDescent="0.25">
      <c r="A34" t="s">
        <v>22</v>
      </c>
      <c r="B34" s="25">
        <v>0.47</v>
      </c>
      <c r="C34" s="26">
        <v>1.86666666666666</v>
      </c>
      <c r="D34" s="7">
        <f t="shared" si="0"/>
        <v>8.7733333333333014E-3</v>
      </c>
    </row>
    <row r="35" spans="1:4" x14ac:dyDescent="0.25">
      <c r="A35" t="s">
        <v>63</v>
      </c>
      <c r="B35" s="25">
        <v>0.46</v>
      </c>
      <c r="C35" s="26">
        <v>2.3370233702337</v>
      </c>
      <c r="D35" s="7">
        <f t="shared" si="0"/>
        <v>1.075030750307502E-2</v>
      </c>
    </row>
    <row r="36" spans="1:4" x14ac:dyDescent="0.25">
      <c r="A36" t="s">
        <v>64</v>
      </c>
      <c r="B36" s="25">
        <v>0.37</v>
      </c>
      <c r="C36" s="26">
        <v>-1.29990714948932</v>
      </c>
      <c r="D36" s="7">
        <f t="shared" si="0"/>
        <v>-4.8096564531104839E-3</v>
      </c>
    </row>
    <row r="37" spans="1:4" x14ac:dyDescent="0.25">
      <c r="A37" t="s">
        <v>65</v>
      </c>
      <c r="B37" s="25">
        <v>0.45</v>
      </c>
      <c r="C37" s="26">
        <v>1.15904700579523</v>
      </c>
      <c r="D37" s="7">
        <f t="shared" si="0"/>
        <v>5.2157115260785345E-3</v>
      </c>
    </row>
    <row r="38" spans="1:4" x14ac:dyDescent="0.25">
      <c r="A38" t="s">
        <v>66</v>
      </c>
      <c r="B38" s="25">
        <v>0.4</v>
      </c>
      <c r="C38" s="26">
        <v>0.75376884422110502</v>
      </c>
      <c r="D38" s="7">
        <f t="shared" si="0"/>
        <v>3.0150753768844202E-3</v>
      </c>
    </row>
    <row r="39" spans="1:4" x14ac:dyDescent="0.25">
      <c r="A39" t="s">
        <v>95</v>
      </c>
      <c r="B39" s="25">
        <v>0.45</v>
      </c>
      <c r="C39" s="26">
        <v>-1.2964563526361199</v>
      </c>
      <c r="D39" s="7">
        <f t="shared" si="0"/>
        <v>-5.83405358686254E-3</v>
      </c>
    </row>
    <row r="40" spans="1:4" x14ac:dyDescent="0.25">
      <c r="A40" t="s">
        <v>67</v>
      </c>
      <c r="B40" s="25">
        <v>0.39</v>
      </c>
      <c r="C40" s="26">
        <v>1.2759170653907399</v>
      </c>
      <c r="D40" s="7">
        <f t="shared" si="0"/>
        <v>4.9760765550238856E-3</v>
      </c>
    </row>
    <row r="41" spans="1:4" x14ac:dyDescent="0.25">
      <c r="A41" t="s">
        <v>69</v>
      </c>
      <c r="B41" s="25">
        <v>0.34</v>
      </c>
      <c r="C41" s="26">
        <v>0.248601615910503</v>
      </c>
      <c r="D41" s="7">
        <f t="shared" si="0"/>
        <v>8.4524549409571031E-4</v>
      </c>
    </row>
    <row r="42" spans="1:4" x14ac:dyDescent="0.25">
      <c r="A42" t="s">
        <v>93</v>
      </c>
      <c r="B42" s="25">
        <v>0.3</v>
      </c>
      <c r="C42" s="26">
        <v>-2.79503105590062</v>
      </c>
      <c r="D42" s="7">
        <f t="shared" si="0"/>
        <v>-8.3850931677018591E-3</v>
      </c>
    </row>
    <row r="43" spans="1:4" x14ac:dyDescent="0.25">
      <c r="A43" t="s">
        <v>68</v>
      </c>
      <c r="B43" s="25">
        <v>0.25</v>
      </c>
      <c r="C43" s="26">
        <v>-3.75</v>
      </c>
      <c r="D43" s="7">
        <f t="shared" si="0"/>
        <v>-9.3749999999999997E-3</v>
      </c>
    </row>
    <row r="44" spans="1:4" x14ac:dyDescent="0.25">
      <c r="A44" t="s">
        <v>9</v>
      </c>
      <c r="B44" s="25">
        <v>0.1</v>
      </c>
      <c r="C44" s="26">
        <v>-6.1589403973509897</v>
      </c>
      <c r="D44" s="7">
        <f t="shared" si="0"/>
        <v>-6.1589403973509906E-3</v>
      </c>
    </row>
    <row r="45" spans="1:4" x14ac:dyDescent="0.25">
      <c r="A45" t="s">
        <v>94</v>
      </c>
      <c r="B45" s="25">
        <v>0.22</v>
      </c>
      <c r="C45" s="26">
        <v>-0.72639225181597999</v>
      </c>
      <c r="D45" s="7">
        <f t="shared" si="0"/>
        <v>-1.598062953995156E-3</v>
      </c>
    </row>
    <row r="46" spans="1:4" x14ac:dyDescent="0.25">
      <c r="A46" t="s">
        <v>73</v>
      </c>
      <c r="B46" s="25">
        <v>0.08</v>
      </c>
      <c r="C46" s="26">
        <v>0.97165991902834004</v>
      </c>
      <c r="D46" s="7">
        <f t="shared" si="0"/>
        <v>7.7732793522267206E-4</v>
      </c>
    </row>
    <row r="47" spans="1:4" x14ac:dyDescent="0.25">
      <c r="A47" t="s">
        <v>61</v>
      </c>
      <c r="B47" s="25">
        <v>0.01</v>
      </c>
      <c r="C47" s="26">
        <v>3.78228782287822</v>
      </c>
      <c r="D47" s="7">
        <f t="shared" si="0"/>
        <v>3.7822878228782196E-4</v>
      </c>
    </row>
    <row r="48" spans="1:4" x14ac:dyDescent="0.25">
      <c r="A48" t="s">
        <v>96</v>
      </c>
      <c r="B48" s="25">
        <v>3.34</v>
      </c>
      <c r="C48" s="26">
        <v>0.12</v>
      </c>
      <c r="D48" s="7">
        <f t="shared" si="0"/>
        <v>4.0080000000000003E-3</v>
      </c>
    </row>
    <row r="49" spans="1:6" x14ac:dyDescent="0.25">
      <c r="A49" t="s">
        <v>97</v>
      </c>
      <c r="B49" s="25">
        <v>2.5499999999999998</v>
      </c>
      <c r="C49" s="26">
        <v>0.12</v>
      </c>
      <c r="D49" s="7">
        <f t="shared" si="0"/>
        <v>3.0599999999999998E-3</v>
      </c>
    </row>
    <row r="50" spans="1:6" x14ac:dyDescent="0.25">
      <c r="A50" s="15" t="s">
        <v>52</v>
      </c>
      <c r="B50" s="5">
        <f>SUM(B2:B49)</f>
        <v>93.59999999999998</v>
      </c>
      <c r="C50" s="5"/>
      <c r="D50" s="6">
        <f>SUM(D2:D49)</f>
        <v>0.13754059920902947</v>
      </c>
    </row>
    <row r="60" spans="1:6" x14ac:dyDescent="0.25">
      <c r="A60" s="5"/>
      <c r="B60" s="30"/>
      <c r="C60" s="30"/>
      <c r="D60" s="19"/>
      <c r="E60" s="5"/>
      <c r="F60" s="5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F74" s="23"/>
    </row>
    <row r="75" spans="1:6" x14ac:dyDescent="0.25">
      <c r="F75" s="23"/>
    </row>
    <row r="76" spans="1:6" x14ac:dyDescent="0.25">
      <c r="F76" s="23"/>
    </row>
    <row r="77" spans="1:6" x14ac:dyDescent="0.25">
      <c r="F77" s="23"/>
    </row>
    <row r="78" spans="1:6" x14ac:dyDescent="0.25">
      <c r="F78" s="23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tabSelected="1" zoomScale="90" zoomScaleNormal="90" workbookViewId="0">
      <selection activeCell="D41" sqref="D41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69</v>
      </c>
      <c r="B2" s="4">
        <v>4.88</v>
      </c>
      <c r="C2" s="8">
        <v>0.248601615910503</v>
      </c>
      <c r="D2" s="7">
        <f>B2*C2/100</f>
        <v>1.2131758856432546E-2</v>
      </c>
    </row>
    <row r="3" spans="1:4" x14ac:dyDescent="0.25">
      <c r="A3" s="4" t="s">
        <v>1</v>
      </c>
      <c r="B3" s="4">
        <v>4.6900000000000004</v>
      </c>
      <c r="C3" s="8">
        <v>0</v>
      </c>
      <c r="D3" s="7">
        <f>B3*C3/100</f>
        <v>0</v>
      </c>
    </row>
    <row r="4" spans="1:4" x14ac:dyDescent="0.25">
      <c r="A4" s="4" t="s">
        <v>2</v>
      </c>
      <c r="B4" s="4">
        <v>6.71</v>
      </c>
      <c r="C4" s="8">
        <v>-2.2777777777777701</v>
      </c>
      <c r="D4" s="7">
        <f t="shared" ref="D4:D32" si="0">B4*C4/100</f>
        <v>-0.15283888888888839</v>
      </c>
    </row>
    <row r="5" spans="1:4" x14ac:dyDescent="0.25">
      <c r="A5" s="4" t="s">
        <v>5</v>
      </c>
      <c r="B5" s="4">
        <v>3.33</v>
      </c>
      <c r="C5" s="8">
        <v>-0.29154518950437303</v>
      </c>
      <c r="D5" s="7">
        <f t="shared" si="0"/>
        <v>-9.708454810495622E-3</v>
      </c>
    </row>
    <row r="6" spans="1:4" x14ac:dyDescent="0.25">
      <c r="A6" s="4" t="s">
        <v>95</v>
      </c>
      <c r="B6" s="4">
        <v>14.22</v>
      </c>
      <c r="C6" s="8">
        <v>-1.2964563526361199</v>
      </c>
      <c r="D6" s="7">
        <f t="shared" si="0"/>
        <v>-0.18435609334485625</v>
      </c>
    </row>
    <row r="7" spans="1:4" x14ac:dyDescent="0.25">
      <c r="A7" s="4" t="s">
        <v>43</v>
      </c>
      <c r="B7" s="4">
        <v>6.79</v>
      </c>
      <c r="C7" s="8">
        <v>-4.0165386887182501</v>
      </c>
      <c r="D7" s="7">
        <f t="shared" si="0"/>
        <v>-0.27272297696396919</v>
      </c>
    </row>
    <row r="8" spans="1:4" x14ac:dyDescent="0.25">
      <c r="A8" s="4" t="s">
        <v>4</v>
      </c>
      <c r="B8" s="4">
        <v>3.02</v>
      </c>
      <c r="C8" s="8">
        <v>4.4897959183673404</v>
      </c>
      <c r="D8" s="7">
        <f t="shared" si="0"/>
        <v>0.13559183673469369</v>
      </c>
    </row>
    <row r="9" spans="1:4" x14ac:dyDescent="0.25">
      <c r="A9" s="4" t="s">
        <v>17</v>
      </c>
      <c r="B9" s="4">
        <v>3.6</v>
      </c>
      <c r="C9" s="8">
        <v>-2.4665981500513801</v>
      </c>
      <c r="D9" s="7">
        <f t="shared" si="0"/>
        <v>-8.879753340184969E-2</v>
      </c>
    </row>
    <row r="10" spans="1:4" x14ac:dyDescent="0.25">
      <c r="A10" s="4" t="s">
        <v>20</v>
      </c>
      <c r="B10" s="4">
        <v>2.25</v>
      </c>
      <c r="C10" s="8">
        <v>0.86206896551724099</v>
      </c>
      <c r="D10" s="7">
        <f t="shared" si="0"/>
        <v>1.9396551724137921E-2</v>
      </c>
    </row>
    <row r="11" spans="1:4" x14ac:dyDescent="0.25">
      <c r="A11" s="4" t="s">
        <v>16</v>
      </c>
      <c r="B11" s="4">
        <v>2.25</v>
      </c>
      <c r="C11" s="8">
        <v>-8.29875518672199E-2</v>
      </c>
      <c r="D11" s="7">
        <f t="shared" si="0"/>
        <v>-1.8672199170124476E-3</v>
      </c>
    </row>
    <row r="12" spans="1:4" x14ac:dyDescent="0.25">
      <c r="A12" s="4" t="s">
        <v>33</v>
      </c>
      <c r="B12" s="4">
        <v>2.74</v>
      </c>
      <c r="C12" s="8">
        <v>-0.50432276657060504</v>
      </c>
      <c r="D12" s="7">
        <f t="shared" si="0"/>
        <v>-1.381844380403458E-2</v>
      </c>
    </row>
    <row r="13" spans="1:4" x14ac:dyDescent="0.25">
      <c r="A13" s="4" t="s">
        <v>74</v>
      </c>
      <c r="B13" s="4">
        <v>2.4</v>
      </c>
      <c r="C13" s="8">
        <v>-3.2977691561590601</v>
      </c>
      <c r="D13" s="7">
        <f t="shared" si="0"/>
        <v>-7.9146459747817435E-2</v>
      </c>
    </row>
    <row r="14" spans="1:4" x14ac:dyDescent="0.25">
      <c r="A14" s="4" t="s">
        <v>71</v>
      </c>
      <c r="B14" s="4">
        <v>2.4300000000000002</v>
      </c>
      <c r="C14" s="8">
        <v>3.6144578313253</v>
      </c>
      <c r="D14" s="7">
        <f t="shared" si="0"/>
        <v>8.7831325301204799E-2</v>
      </c>
    </row>
    <row r="15" spans="1:4" x14ac:dyDescent="0.25">
      <c r="A15" s="4" t="s">
        <v>75</v>
      </c>
      <c r="B15" s="4">
        <v>3.26</v>
      </c>
      <c r="C15" s="8">
        <v>-1.51515151515151</v>
      </c>
      <c r="D15" s="7">
        <f t="shared" si="0"/>
        <v>-4.9393939393939226E-2</v>
      </c>
    </row>
    <row r="16" spans="1:4" x14ac:dyDescent="0.25">
      <c r="A16" s="4" t="s">
        <v>76</v>
      </c>
      <c r="B16" s="4">
        <v>0.83</v>
      </c>
      <c r="C16" s="8">
        <v>0</v>
      </c>
      <c r="D16" s="7">
        <f t="shared" si="0"/>
        <v>0</v>
      </c>
    </row>
    <row r="17" spans="1:5" x14ac:dyDescent="0.25">
      <c r="A17" s="4" t="s">
        <v>77</v>
      </c>
      <c r="B17" s="4">
        <v>2.25</v>
      </c>
      <c r="C17" s="8">
        <v>-2.9394812680115199</v>
      </c>
      <c r="D17" s="7">
        <f t="shared" si="0"/>
        <v>-6.6138328530259194E-2</v>
      </c>
    </row>
    <row r="18" spans="1:5" x14ac:dyDescent="0.25">
      <c r="A18" s="4" t="s">
        <v>6</v>
      </c>
      <c r="B18" s="4">
        <v>1.85</v>
      </c>
      <c r="C18" s="8">
        <v>1.61177295024526</v>
      </c>
      <c r="D18" s="7">
        <f t="shared" si="0"/>
        <v>2.981779957953731E-2</v>
      </c>
    </row>
    <row r="19" spans="1:5" x14ac:dyDescent="0.25">
      <c r="A19" s="4" t="s">
        <v>58</v>
      </c>
      <c r="B19" s="4">
        <v>2.62</v>
      </c>
      <c r="C19" s="8">
        <v>0.47003525264394802</v>
      </c>
      <c r="D19" s="7">
        <f t="shared" si="0"/>
        <v>1.2314923619271438E-2</v>
      </c>
    </row>
    <row r="20" spans="1:5" x14ac:dyDescent="0.25">
      <c r="A20" s="4" t="s">
        <v>81</v>
      </c>
      <c r="B20" s="4">
        <v>2.61</v>
      </c>
      <c r="C20" s="8">
        <v>0.13477088948787</v>
      </c>
      <c r="D20" s="7">
        <f t="shared" si="0"/>
        <v>3.5175202156334066E-3</v>
      </c>
    </row>
    <row r="21" spans="1:5" x14ac:dyDescent="0.25">
      <c r="A21" s="4" t="s">
        <v>78</v>
      </c>
      <c r="B21" s="4">
        <v>1.56</v>
      </c>
      <c r="C21" s="8">
        <v>5.4778554778554698</v>
      </c>
      <c r="D21" s="7">
        <f t="shared" si="0"/>
        <v>8.5454545454545325E-2</v>
      </c>
    </row>
    <row r="22" spans="1:5" x14ac:dyDescent="0.25">
      <c r="A22" s="4" t="s">
        <v>3</v>
      </c>
      <c r="B22" s="4">
        <v>2.4</v>
      </c>
      <c r="C22" s="8">
        <v>-1.7161716171617101</v>
      </c>
      <c r="D22" s="7">
        <f t="shared" si="0"/>
        <v>-4.1188118811881037E-2</v>
      </c>
    </row>
    <row r="23" spans="1:5" x14ac:dyDescent="0.25">
      <c r="A23" s="4" t="s">
        <v>79</v>
      </c>
      <c r="B23" s="4">
        <v>1.6</v>
      </c>
      <c r="C23" s="8">
        <v>3.67454068241469</v>
      </c>
      <c r="D23" s="7">
        <f t="shared" si="0"/>
        <v>5.8792650918635045E-2</v>
      </c>
    </row>
    <row r="24" spans="1:5" x14ac:dyDescent="0.25">
      <c r="A24" s="4" t="s">
        <v>8</v>
      </c>
      <c r="B24" s="4">
        <v>3.22</v>
      </c>
      <c r="C24" s="8">
        <v>-9.9783080260303603</v>
      </c>
      <c r="D24" s="7">
        <f t="shared" si="0"/>
        <v>-0.32130151843817761</v>
      </c>
    </row>
    <row r="25" spans="1:5" x14ac:dyDescent="0.25">
      <c r="A25" s="4" t="s">
        <v>72</v>
      </c>
      <c r="B25" s="4">
        <v>2.06</v>
      </c>
      <c r="C25" s="8">
        <v>2.9095509171410501</v>
      </c>
      <c r="D25" s="7">
        <f t="shared" si="0"/>
        <v>5.9936748893105636E-2</v>
      </c>
    </row>
    <row r="26" spans="1:5" x14ac:dyDescent="0.25">
      <c r="A26" s="4" t="s">
        <v>80</v>
      </c>
      <c r="B26" s="4">
        <v>0.99</v>
      </c>
      <c r="C26" s="8">
        <v>2.1803766105054501</v>
      </c>
      <c r="D26" s="7">
        <f t="shared" si="0"/>
        <v>2.1585728444003957E-2</v>
      </c>
    </row>
    <row r="27" spans="1:5" x14ac:dyDescent="0.25">
      <c r="A27" s="4" t="s">
        <v>59</v>
      </c>
      <c r="B27" s="4">
        <v>1.59</v>
      </c>
      <c r="C27" s="8">
        <v>-1.4867485455720699</v>
      </c>
      <c r="D27" s="7">
        <f t="shared" si="0"/>
        <v>-2.3639301874595911E-2</v>
      </c>
    </row>
    <row r="28" spans="1:5" x14ac:dyDescent="0.25">
      <c r="A28" s="4" t="s">
        <v>98</v>
      </c>
      <c r="B28" s="4">
        <v>0.61</v>
      </c>
      <c r="C28" s="13">
        <v>-1.43504531722054</v>
      </c>
      <c r="D28" s="7">
        <f t="shared" si="0"/>
        <v>-8.7537764350452945E-3</v>
      </c>
    </row>
    <row r="29" spans="1:5" x14ac:dyDescent="0.25">
      <c r="A29" s="4" t="s">
        <v>53</v>
      </c>
      <c r="B29" s="4">
        <v>0.6</v>
      </c>
      <c r="C29" s="8">
        <v>-0.37493304767005797</v>
      </c>
      <c r="D29" s="7">
        <f t="shared" si="0"/>
        <v>-2.2495982860203478E-3</v>
      </c>
      <c r="E29" s="4"/>
    </row>
    <row r="30" spans="1:5" x14ac:dyDescent="0.25">
      <c r="A30" s="4" t="s">
        <v>99</v>
      </c>
      <c r="B30" s="4">
        <v>0.49</v>
      </c>
      <c r="C30" s="8">
        <v>-3.1791907514450801</v>
      </c>
      <c r="D30" s="7">
        <f t="shared" si="0"/>
        <v>-1.5578034682080893E-2</v>
      </c>
      <c r="E30" s="16"/>
    </row>
    <row r="31" spans="1:5" x14ac:dyDescent="0.25">
      <c r="A31" s="4" t="s">
        <v>100</v>
      </c>
      <c r="B31" s="4">
        <v>0.91</v>
      </c>
      <c r="C31" s="13">
        <v>-0.74706510138740601</v>
      </c>
      <c r="D31" s="7">
        <f t="shared" si="0"/>
        <v>-6.7982924226253948E-3</v>
      </c>
    </row>
    <row r="32" spans="1:5" x14ac:dyDescent="0.25">
      <c r="A32" s="4" t="s">
        <v>101</v>
      </c>
      <c r="B32" s="4">
        <v>0.05</v>
      </c>
      <c r="C32" s="8">
        <v>-1.5873015873015801</v>
      </c>
      <c r="D32" s="7">
        <f t="shared" si="0"/>
        <v>-7.9365079365079018E-4</v>
      </c>
      <c r="E32" s="5"/>
    </row>
    <row r="33" spans="1:5" x14ac:dyDescent="0.25">
      <c r="A33" s="15" t="s">
        <v>52</v>
      </c>
      <c r="B33" s="6">
        <f>SUM(B2:B32)</f>
        <v>88.809999999999988</v>
      </c>
      <c r="C33" s="5"/>
      <c r="D33" s="6">
        <f>SUM(D2:D32)</f>
        <v>-0.81271924080599822</v>
      </c>
      <c r="E33" s="20"/>
    </row>
    <row r="34" spans="1:5" x14ac:dyDescent="0.25">
      <c r="A34" s="17"/>
      <c r="B34" s="29"/>
      <c r="C34" s="29"/>
      <c r="D34" s="24"/>
      <c r="E34" s="21"/>
    </row>
    <row r="35" spans="1:5" x14ac:dyDescent="0.25">
      <c r="A35" s="17"/>
      <c r="B35" s="29"/>
      <c r="C35" s="29"/>
      <c r="D35" s="24"/>
      <c r="E35" s="21"/>
    </row>
    <row r="36" spans="1:5" x14ac:dyDescent="0.25">
      <c r="A36" s="17"/>
      <c r="B36" s="29"/>
      <c r="C36" s="29"/>
      <c r="D36" s="24"/>
      <c r="E36" s="21"/>
    </row>
    <row r="37" spans="1:5" x14ac:dyDescent="0.25">
      <c r="A37" s="17"/>
      <c r="B37" s="29"/>
      <c r="C37" s="29"/>
      <c r="D37" s="24"/>
      <c r="E37" s="21"/>
    </row>
    <row r="38" spans="1:5" x14ac:dyDescent="0.25">
      <c r="A38" s="17"/>
      <c r="B38" s="29"/>
      <c r="C38" s="29"/>
      <c r="D38" s="24"/>
      <c r="E38" s="21"/>
    </row>
    <row r="39" spans="1:5" x14ac:dyDescent="0.25">
      <c r="A39" s="17"/>
      <c r="B39" s="29"/>
      <c r="C39" s="29"/>
      <c r="D39" s="24"/>
      <c r="E39" s="21"/>
    </row>
    <row r="40" spans="1:5" x14ac:dyDescent="0.25">
      <c r="A40" s="17"/>
      <c r="B40" s="29"/>
      <c r="C40" s="29"/>
      <c r="D40" s="24"/>
      <c r="E40" s="21"/>
    </row>
    <row r="41" spans="1:5" x14ac:dyDescent="0.25">
      <c r="A41" s="17"/>
      <c r="B41" s="29"/>
      <c r="C41" s="29"/>
      <c r="D41" s="24"/>
      <c r="E41" s="21"/>
    </row>
    <row r="42" spans="1:5" x14ac:dyDescent="0.25">
      <c r="A42" s="17"/>
      <c r="B42" s="29"/>
      <c r="C42" s="29"/>
      <c r="D42" s="24"/>
      <c r="E42" s="21"/>
    </row>
    <row r="43" spans="1:5" x14ac:dyDescent="0.25">
      <c r="A43" s="17"/>
      <c r="B43" s="29"/>
      <c r="C43" s="29"/>
      <c r="D43" s="24"/>
      <c r="E43" s="21"/>
    </row>
    <row r="44" spans="1:5" x14ac:dyDescent="0.25">
      <c r="A44" s="17"/>
      <c r="B44" s="29"/>
      <c r="C44" s="29"/>
      <c r="D44" s="24"/>
      <c r="E44" s="21"/>
    </row>
    <row r="45" spans="1:5" x14ac:dyDescent="0.25">
      <c r="A45" s="17"/>
      <c r="B45" s="29"/>
      <c r="C45" s="29"/>
      <c r="D45" s="24"/>
      <c r="E45" s="21"/>
    </row>
    <row r="46" spans="1:5" x14ac:dyDescent="0.25">
      <c r="A46" s="17"/>
      <c r="B46" s="29"/>
      <c r="C46" s="29"/>
      <c r="D46" s="24"/>
      <c r="E46" s="21"/>
    </row>
  </sheetData>
  <mergeCells count="13">
    <mergeCell ref="B41:C41"/>
    <mergeCell ref="B34:C34"/>
    <mergeCell ref="B35:C35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2026-08-21T15:24:43Z</dcterms:modified>
</cp:coreProperties>
</file>