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205520896343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LY" sheetId="1" r:id="R1e2168da7f534653"/>
    <x:sheet xmlns:r="http://schemas.openxmlformats.org/officeDocument/2006/relationships" name="PHE" sheetId="2" r:id="R47d92ea66c0e4591"/>
    <x:sheet xmlns:r="http://schemas.openxmlformats.org/officeDocument/2006/relationships" name="DFI" sheetId="4" r:id="Ra1fe8922dca548ef"/>
    <x:sheet xmlns:r="http://schemas.openxmlformats.org/officeDocument/2006/relationships" name="KHA" sheetId="7" r:id="Rf84e6cf1a3434fee"/>
    <x:sheet xmlns:r="http://schemas.openxmlformats.org/officeDocument/2006/relationships" name="THF" sheetId="8" r:id="Rb6f1f39ad8d9411f"/>
    <x:sheet xmlns:r="http://schemas.openxmlformats.org/officeDocument/2006/relationships" name="TMV" sheetId="9" r:id="R33f62000dabb48e4"/>
  </x:sheets>
</x:workbook>
</file>

<file path=xl/sharedStrings.xml><?xml version="1.0" encoding="utf-8"?>
<x:sst xmlns:x="http://schemas.openxmlformats.org/spreadsheetml/2006/main">
  <x:si>
    <x:t xml:space="preserve">SEMBOL</x:t>
  </x:si>
  <x:si>
    <x:t xml:space="preserve">FON ORANI</x:t>
  </x:si>
  <x:si>
    <x:t xml:space="preserve">KAPANIŞ MARJI</x:t>
  </x:si>
  <x:si>
    <x:t xml:space="preserve">ETKİ</x:t>
  </x:si>
  <x:si>
    <x:t xml:space="preserve">OZATD</x:t>
  </x:si>
  <x:si>
    <x:t xml:space="preserve">DSTKF</x:t>
  </x:si>
  <x:si>
    <x:t xml:space="preserve">TEHOL</x:t>
  </x:si>
  <x:si>
    <x:t xml:space="preserve">PEKGY</x:t>
  </x:si>
  <x:si>
    <x:t xml:space="preserve">TERA</x:t>
  </x:si>
  <x:si>
    <x:t xml:space="preserve">TRHOL</x:t>
  </x:si>
  <x:si>
    <x:t xml:space="preserve">ANELE</x:t>
  </x:si>
  <x:si>
    <x:t xml:space="preserve">ALKLC</x:t>
  </x:si>
  <x:si>
    <x:t xml:space="preserve">SELEC</x:t>
  </x:si>
  <x:si>
    <x:t xml:space="preserve">BIGEN</x:t>
  </x:si>
  <x:si>
    <x:t xml:space="preserve">HEDEF</x:t>
  </x:si>
  <x:si>
    <x:t xml:space="preserve">KARCL</x:t>
  </x:si>
  <x:si>
    <x:t xml:space="preserve">SVGYO</x:t>
  </x:si>
  <x:si>
    <x:t xml:space="preserve">EUPWR</x:t>
  </x:si>
  <x:si>
    <x:t xml:space="preserve">MANAS</x:t>
  </x:si>
  <x:si>
    <x:t xml:space="preserve">SARAE</x:t>
  </x:si>
  <x:si>
    <x:t xml:space="preserve">DAPGM</x:t>
  </x:si>
  <x:si>
    <x:t xml:space="preserve">TMPOL</x:t>
  </x:si>
  <x:si>
    <x:t xml:space="preserve">HMV</x:t>
  </x:si>
  <x:si>
    <x:t xml:space="preserve">T3B</x:t>
  </x:si>
  <x:si>
    <x:t xml:space="preserve">Toplam</x:t>
  </x:si>
  <x:si>
    <x:t xml:space="preserve">ETKİ ORANI</x:t>
  </x:si>
  <x:si>
    <x:t xml:space="preserve">ODINE</x:t>
  </x:si>
  <x:si>
    <x:t xml:space="preserve">PASEU</x:t>
  </x:si>
  <x:si>
    <x:t xml:space="preserve">GUNDG</x:t>
  </x:si>
  <x:si>
    <x:t xml:space="preserve">KTLEV</x:t>
  </x:si>
  <x:si>
    <x:t xml:space="preserve">AKSEN</x:t>
  </x:si>
  <x:si>
    <x:t xml:space="preserve">BALSU</x:t>
  </x:si>
  <x:si>
    <x:t xml:space="preserve">TATEN</x:t>
  </x:si>
  <x:si>
    <x:t xml:space="preserve">IZFAS</x:t>
  </x:si>
  <x:si>
    <x:t xml:space="preserve">IZENR</x:t>
  </x:si>
  <x:si>
    <x:t xml:space="preserve">ALVES</x:t>
  </x:si>
  <x:si>
    <x:t xml:space="preserve">TURSG</x:t>
  </x:si>
  <x:si>
    <x:t xml:space="preserve">TRALT</x:t>
  </x:si>
  <x:si>
    <x:t xml:space="preserve">MOPAS</x:t>
  </x:si>
  <x:si>
    <x:t xml:space="preserve">PKZ</x:t>
  </x:si>
  <x:si>
    <x:t xml:space="preserve">PCS</x:t>
  </x:si>
  <x:si>
    <x:t xml:space="preserve">PRY</x:t>
  </x:si>
  <x:si>
    <x:t xml:space="preserve">PDG</x:t>
  </x:si>
  <x:si>
    <x:t xml:space="preserve">IEYHO</x:t>
  </x:si>
  <x:si>
    <x:t xml:space="preserve">ISKPL</x:t>
  </x:si>
  <x:si>
    <x:t xml:space="preserve">LIDER</x:t>
  </x:si>
  <x:si>
    <x:t xml:space="preserve">ABG</x:t>
  </x:si>
  <x:si>
    <x:t xml:space="preserve">PSE</x:t>
  </x:si>
  <x:si>
    <x:t xml:space="preserve">BAC</x:t>
  </x:si>
  <x:si>
    <x:t xml:space="preserve">KVR</x:t>
  </x:si>
  <x:si>
    <x:t xml:space="preserve">PFS</x:t>
  </x:si>
  <x:si>
    <x:t xml:space="preserve">GESAN</x:t>
  </x:si>
  <x:si>
    <x:t xml:space="preserve">CWENE</x:t>
  </x:si>
  <x:si>
    <x:t xml:space="preserve">TCELL</x:t>
  </x:si>
  <x:si>
    <x:t xml:space="preserve">PSGYO</x:t>
  </x:si>
  <x:si>
    <x:t xml:space="preserve">EREGL</x:t>
  </x:si>
  <x:si>
    <x:t xml:space="preserve">THYAO</x:t>
  </x:si>
  <x:si>
    <x:t xml:space="preserve">PGSUS</x:t>
  </x:si>
  <x:si>
    <x:t xml:space="preserve">AEFES</x:t>
  </x:si>
  <x:si>
    <x:t xml:space="preserve">SAHOL</x:t>
  </x:si>
  <x:si>
    <x:t xml:space="preserve">KCHOL</x:t>
  </x:si>
  <x:si>
    <x:t xml:space="preserve">ARCLK</x:t>
  </x:si>
  <x:si>
    <x:t xml:space="preserve">BIMAS</x:t>
  </x:si>
  <x:si>
    <x:t xml:space="preserve">ISCTR</x:t>
  </x:si>
  <x:si>
    <x:t xml:space="preserve">ULKER</x:t>
  </x:si>
  <x:si>
    <x:t xml:space="preserve">AKBNK</x:t>
  </x:si>
  <x:si>
    <x:t xml:space="preserve">HALKB</x:t>
  </x:si>
  <x:si>
    <x:t xml:space="preserve">KORDS</x:t>
  </x:si>
  <x:si>
    <x:t xml:space="preserve">TAVHL</x:t>
  </x:si>
  <x:si>
    <x:t xml:space="preserve">ISMEN</x:t>
  </x:si>
  <x:si>
    <x:t xml:space="preserve">GARAN</x:t>
  </x:si>
  <x:si>
    <x:t xml:space="preserve">PETKM</x:t>
  </x:si>
  <x:si>
    <x:t xml:space="preserve">MGROS</x:t>
  </x:si>
  <x:si>
    <x:t xml:space="preserve">CCOLA</x:t>
  </x:si>
  <x:si>
    <x:t xml:space="preserve">ALARK</x:t>
  </x:si>
  <x:si>
    <x:t xml:space="preserve">AGHOL</x:t>
  </x:si>
  <x:si>
    <x:t xml:space="preserve">FROTO</x:t>
  </x:si>
  <x:si>
    <x:t xml:space="preserve">MAVI</x:t>
  </x:si>
  <x:si>
    <x:t xml:space="preserve">ASELS</x:t>
  </x:si>
  <x:si>
    <x:t xml:space="preserve">GLRYH</x:t>
  </x:si>
  <x:si>
    <x:t xml:space="preserve">BRKO</x:t>
  </x:si>
  <x:si>
    <x:t xml:space="preserve">A1CAP</x:t>
  </x:si>
  <x:si>
    <x:t xml:space="preserve">BIZIM</x:t>
  </x:si>
  <x:si>
    <x:t xml:space="preserve">TOASO</x:t>
  </x:si>
  <x:si>
    <x:t xml:space="preserve">PKV</x:t>
  </x:si>
  <x:si>
    <x:t xml:space="preserve">PIS</x:t>
  </x:si>
  <x:si>
    <x:t xml:space="preserve">GIPTA</x:t>
  </x:si>
  <x:si>
    <x:t xml:space="preserve">YKBNK</x:t>
  </x:si>
  <x:si>
    <x:t xml:space="preserve">BRSAN</x:t>
  </x:si>
  <x:si>
    <x:t xml:space="preserve">ORZAX</x:t>
  </x:si>
  <x:si>
    <x:t xml:space="preserve">KGYO</x:t>
  </x:si>
  <x:si>
    <x:t xml:space="preserve">NETCD</x:t>
  </x:si>
  <x:si>
    <x:t xml:space="preserve">BARMA</x:t>
  </x:si>
  <x:si>
    <x:t xml:space="preserve">MCARD</x:t>
  </x:si>
  <x:si>
    <x:t xml:space="preserve">GLRMK</x:t>
  </x:si>
  <x:si>
    <x:t xml:space="preserve">EGEGY</x:t>
  </x:si>
  <x:si>
    <x:t xml:space="preserve">TUPRS</x:t>
  </x:si>
  <x:si>
    <x:t xml:space="preserve">TABGD</x:t>
  </x:si>
  <x:si>
    <x:t xml:space="preserve">ATATR</x:t>
  </x:si>
  <x:si>
    <x:t xml:space="preserve">MOBTL</x:t>
  </x:si>
  <x:si>
    <x:t xml:space="preserve">BSOKE</x:t>
  </x:si>
  <x:si>
    <x:t xml:space="preserve">RUZYE</x:t>
  </x:si>
  <x:si>
    <x:t xml:space="preserve">RNPOL</x:t>
  </x:si>
  <x:si>
    <x:t xml:space="preserve">MANAS </x:t>
  </x:si>
</x:sst>
</file>

<file path=xl/styles.xml><?xml version="1.0" encoding="utf-8"?>
<x:styleSheet xmlns:x="http://schemas.openxmlformats.org/spreadsheetml/2006/main">
  <x:numFmts count="5">
    <x:numFmt numFmtId="164" formatCode="0.0000"/>
    <x:numFmt numFmtId="165" formatCode="&quot;₺&quot;#,##0.00"/>
    <x:numFmt numFmtId="166" formatCode="0.000"/>
    <x:numFmt numFmtId="167" formatCode="&quot;₺&quot;#,##0"/>
    <x:numFmt numFmtId="168" formatCode="0.000000"/>
  </x:numFmts>
  <x:fonts count="6">
    <x:font>
      <x:sz val="11"/>
      <x:color rgb="FF000000"/>
      <x:name val="Calibri"/>
    </x:font>
    <x:font>
      <x:b/>
      <x:sz val="11"/>
      <x:color rgb="FF000000"/>
      <x:name val="Calibri"/>
    </x:font>
    <x:font>
      <x:b/>
      <x:sz val="11"/>
      <x:color rgb="FFFF000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 applyBorder="0"/>
  </x:cellStyleXfs>
  <x:cellXfs count="31">
    <x:xf numFmtId="0" fontId="0" fillId="0" borderId="0" xfId="0"/>
    <x:xf numFmtId="0" fontId="1" fillId="0" borderId="0" xfId="0" applyFont="1" applyAlignment="1">
      <x:alignment horizontal="center" vertical="center"/>
    </x:xf>
    <x:xf numFmtId="0" fontId="1" fillId="0" borderId="0" xfId="0" applyFont="1"/>
    <x:xf numFmtId="2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2" fontId="2" fillId="0" borderId="0" xfId="0" applyNumberFormat="1" applyFont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166" fontId="0" fillId="0" borderId="0" xfId="0" applyNumberFormat="1" applyAlignment="1">
      <x:alignment horizontal="center" vertical="center"/>
    </x:xf>
    <x:xf numFmtId="165" fontId="0" fillId="0" borderId="0" xfId="0" applyNumberFormat="1"/>
    <x:xf numFmtId="165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166" fontId="0" fillId="0" borderId="0" xfId="0" applyNumberFormat="1" applyAlignment="1">
      <x:alignment horizontal="center"/>
    </x:xf>
    <x:xf numFmtId="166" fontId="5" fillId="0" borderId="0" xfId="0" applyNumberFormat="1" applyFont="1" applyAlignment="1">
      <x:alignment horizontal="center" vertical="center"/>
    </x:xf>
    <x:xf numFmtId="0" fontId="4" fillId="0" borderId="0" xfId="0" applyFont="1"/>
    <x:xf numFmtId="167" fontId="0" fillId="0" borderId="0" xfId="0" applyNumberFormat="1" applyAlignment="1">
      <x:alignment horizontal="center" vertical="center"/>
    </x:xf>
    <x:xf numFmtId="14" fontId="0" fillId="0" borderId="0" xfId="0" applyNumberFormat="1"/>
    <x:xf numFmtId="167" fontId="0" fillId="0" borderId="0" xfId="0" applyNumberFormat="1"/>
    <x:xf numFmtId="0" fontId="2" fillId="0" borderId="0" xfId="0" applyFont="1" applyAlignment="1">
      <x:alignment horizontal="center"/>
    </x:xf>
    <x:xf numFmtId="167" fontId="0" fillId="0" borderId="0" xfId="0" applyNumberFormat="1" applyAlignment="1">
      <x:alignment horizontal="right"/>
    </x:xf>
    <x:xf numFmtId="167" fontId="0" fillId="0" borderId="0" xfId="0" applyNumberFormat="1" applyAlignment="1">
      <x:alignment horizontal="right" vertical="center"/>
    </x:xf>
    <x:xf numFmtId="14" fontId="0" fillId="0" borderId="0" xfId="0" applyNumberFormat="1" applyAlignment="1">
      <x:alignment horizontal="center" vertical="center"/>
    </x:xf>
    <x:xf numFmtId="10" fontId="0" fillId="0" borderId="0" xfId="0" applyNumberFormat="1" applyAlignment="1">
      <x:alignment horizontal="right"/>
    </x:xf>
    <x:xf numFmtId="167" fontId="0" fillId="0" borderId="0" xfId="0" applyNumberFormat="1" applyAlignment="1">
      <x:alignment horizontal="center"/>
    </x:xf>
    <x:xf numFmtId="0" fontId="0" fillId="0" borderId="0" xfId="0" applyAlignment="1">
      <x:alignment horizontal="center"/>
    </x:xf>
    <x:xf numFmtId="2" fontId="0" fillId="0" borderId="0" xfId="0" applyNumberFormat="1" applyAlignment="1">
      <x:alignment horizontal="center"/>
    </x:xf>
    <x:xf numFmtId="2" fontId="5" fillId="0" borderId="0" xfId="0" applyNumberFormat="1" applyFont="1" applyAlignment="1">
      <x:alignment horizontal="center" vertical="center"/>
    </x:xf>
    <x:xf numFmtId="168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2" fillId="0" borderId="0" xfId="0" applyFont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9410624af5418a" /><Relationship Type="http://schemas.openxmlformats.org/officeDocument/2006/relationships/theme" Target="/xl/theme/theme1.xml" Id="R7f561afc3c7a49ef" /><Relationship Type="http://schemas.openxmlformats.org/officeDocument/2006/relationships/sharedStrings" Target="/xl/sharedStrings.xml" Id="R0e7934880da4415e" /><Relationship Type="http://schemas.openxmlformats.org/officeDocument/2006/relationships/worksheet" Target="/xl/worksheets/sheet1.xml" Id="R1e2168da7f534653" /><Relationship Type="http://schemas.openxmlformats.org/officeDocument/2006/relationships/worksheet" Target="/xl/worksheets/sheet2.xml" Id="R47d92ea66c0e4591" /><Relationship Type="http://schemas.openxmlformats.org/officeDocument/2006/relationships/worksheet" Target="/xl/worksheets/sheet3.xml" Id="Ra1fe8922dca548ef" /><Relationship Type="http://schemas.openxmlformats.org/officeDocument/2006/relationships/worksheet" Target="/xl/worksheets/sheet4.xml" Id="Rf84e6cf1a3434fee" /><Relationship Type="http://schemas.openxmlformats.org/officeDocument/2006/relationships/worksheet" Target="/xl/worksheets/sheet5.xml" Id="Rb6f1f39ad8d9411f" /><Relationship Type="http://schemas.openxmlformats.org/officeDocument/2006/relationships/worksheet" Target="/xl/worksheets/sheet6.xml" Id="R33f62000dabb48e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1" customWidth="1"/>
    <x:col min="2" max="2" width="10" customWidth="1"/>
    <x:col min="3" max="3" width="14.42578125" customWidth="1"/>
    <x:col min="4" max="4" width="19" customWidth="1"/>
    <x:col min="5" max="5" width="20" customWidth="1"/>
  </x:cols>
  <x:sheetData>
    <x:row r="1">
      <x:c r="A1" s="2" t="s">
        <x:v>0</x:v>
      </x:c>
      <x:c r="B1" s="2" t="s">
        <x:v>1</x:v>
      </x:c>
      <x:c r="C1" s="1" t="s">
        <x:v>2</x:v>
      </x:c>
      <x:c r="D1" s="1" t="s">
        <x:v>3</x:v>
      </x:c>
    </x:row>
    <x:row r="2">
      <x:c r="A2" s="4" t="s">
        <x:v>4</x:v>
      </x:c>
      <x:c r="B2" s="4">
        <x:v>26.83</x:v>
      </x:c>
      <x:c r="C2" s="3">
        <x:v>0.84033613445378097</x:v>
      </x:c>
      <x:c r="D2" s="7" t="n">
        <x:f>B2*C2/100</x:f>
        <x:v>0.22546218487394942</x:v>
      </x:c>
    </x:row>
    <x:row r="3">
      <x:c r="A3" s="4" t="s">
        <x:v>5</x:v>
      </x:c>
      <x:c r="B3" s="4">
        <x:v>18.03</x:v>
      </x:c>
      <x:c r="C3" s="3">
        <x:v>6.8181818181818103</x:v>
      </x:c>
      <x:c r="D3" s="7" t="n">
        <x:f>B3*C3/100</x:f>
        <x:v>1.2293181818181804</x:v>
      </x:c>
    </x:row>
    <x:row r="4">
      <x:c r="A4" s="4" t="s">
        <x:v>6</x:v>
      </x:c>
      <x:c r="B4" s="4">
        <x:v>8.19</x:v>
      </x:c>
      <x:c r="C4" s="3">
        <x:v>-9.9610220874837498</x:v>
      </x:c>
      <x:c r="D4" s="7" t="n">
        <x:f t="shared" ref="D4:D21" si="0">B4*C4/100</x:f>
        <x:v>-0.8158077089649192</x:v>
      </x:c>
    </x:row>
    <x:row r="5">
      <x:c r="A5" s="4" t="s">
        <x:v>7</x:v>
      </x:c>
      <x:c r="B5" s="4">
        <x:v>7.49</x:v>
      </x:c>
      <x:c r="C5" s="3">
        <x:v>0.26437541308658202</x:v>
      </x:c>
      <x:c r="D5" s="7">
        <x:f t="shared" si="0"/>
        <x:v>1.9801718440184995E-2</x:v>
      </x:c>
    </x:row>
    <x:row r="6">
      <x:c r="A6" s="4" t="s">
        <x:v>8</x:v>
      </x:c>
      <x:c r="B6" s="4">
        <x:v>2.91</x:v>
      </x:c>
      <x:c r="C6" s="3">
        <x:v>-0.222345747637576</x:v>
      </x:c>
      <x:c r="D6" s="7">
        <x:f t="shared" si="0"/>
        <x:v>-6.4702612562534626E-3</x:v>
      </x:c>
    </x:row>
    <x:row r="7">
      <x:c r="A7" s="4" t="s">
        <x:v>9</x:v>
      </x:c>
      <x:c r="B7" s="4">
        <x:v>5.63</x:v>
      </x:c>
      <x:c r="C7" s="3">
        <x:v>1.5384615384615301</x:v>
      </x:c>
      <x:c r="D7" s="7">
        <x:f t="shared" si="0"/>
        <x:v>8.661538461538415E-2</x:v>
      </x:c>
    </x:row>
    <x:row r="8">
      <x:c r="A8" s="4" t="s">
        <x:v>10</x:v>
      </x:c>
      <x:c r="B8" s="4">
        <x:v>2.0499999999999998</x:v>
      </x:c>
      <x:c r="C8" s="3">
        <x:v>3.4251175285426401</x:v>
      </x:c>
      <x:c r="D8" s="7">
        <x:f t="shared" si="0"/>
        <x:v>7.0214909335124115E-2</x:v>
      </x:c>
    </x:row>
    <x:row r="9">
      <x:c r="A9" s="4" t="s">
        <x:v>11</x:v>
      </x:c>
      <x:c r="B9" s="4">
        <x:v>1.3</x:v>
      </x:c>
      <x:c r="C9" s="3">
        <x:v>5.92417061611374E-2</x:v>
      </x:c>
      <x:c r="D9" s="7">
        <x:f t="shared" si="0"/>
        <x:v>7.7014218009478622E-4</x:v>
      </x:c>
    </x:row>
    <x:row r="10">
      <x:c r="A10" s="4" t="s">
        <x:v>12</x:v>
      </x:c>
      <x:c r="B10" s="4">
        <x:v>1.8</x:v>
      </x:c>
      <x:c r="C10" s="3">
        <x:v>1.6239316239316199</x:v>
      </x:c>
      <x:c r="D10" s="7">
        <x:f t="shared" si="0"/>
        <x:v>2.9230769230769157E-2</x:v>
      </x:c>
    </x:row>
    <x:row r="11">
      <x:c r="A11" s="4" t="s">
        <x:v>13</x:v>
      </x:c>
      <x:c r="B11" s="4">
        <x:v>2.31</x:v>
      </x:c>
      <x:c r="C11" s="3">
        <x:v>4.5098039215686203</x:v>
      </x:c>
      <x:c r="D11" s="7">
        <x:f t="shared" si="0"/>
        <x:v>0.10417647058823513</x:v>
      </x:c>
    </x:row>
    <x:row r="12">
      <x:c r="A12" s="4" t="s">
        <x:v>14</x:v>
      </x:c>
      <x:c r="B12" s="4">
        <x:v>0.32</x:v>
      </x:c>
      <x:c r="C12" s="3">
        <x:v>-9.9529780564263302</x:v>
      </x:c>
      <x:c r="D12" s="7">
        <x:f t="shared" si="0"/>
        <x:v>-3.1849529780564254E-2</x:v>
      </x:c>
    </x:row>
    <x:row r="13">
      <x:c r="A13" s="4" t="s">
        <x:v>15</x:v>
      </x:c>
      <x:c r="B13" s="4">
        <x:v>0.56999999999999995</x:v>
      </x:c>
      <x:c r="C13" s="3">
        <x:v>5.5447470817120603</x:v>
      </x:c>
      <x:c r="D13" s="7">
        <x:f t="shared" si="0"/>
        <x:v>3.1605058365758741E-2</x:v>
      </x:c>
    </x:row>
    <x:row r="14">
      <x:c r="A14" s="4" t="s">
        <x:v>16</x:v>
      </x:c>
      <x:c r="B14" s="4">
        <x:v>0.55000000000000004</x:v>
      </x:c>
      <x:c r="C14" s="3">
        <x:v>-2.1399652978600301</x:v>
      </x:c>
      <x:c r="D14" s="7">
        <x:f t="shared" si="0"/>
        <x:v>-1.1769809138230168E-2</x:v>
      </x:c>
    </x:row>
    <x:row r="15">
      <x:c r="A15" s="4" t="s">
        <x:v>17</x:v>
      </x:c>
      <x:c r="B15" s="4">
        <x:v>0.31</x:v>
      </x:c>
      <x:c r="C15" s="3">
        <x:v>2.2532188841201699</x:v>
      </x:c>
      <x:c r="D15" s="7">
        <x:f t="shared" si="0"/>
        <x:v>6.9849785407725259E-3</x:v>
      </x:c>
    </x:row>
    <x:row r="16">
      <x:c r="A16" s="4" t="s">
        <x:v>18</x:v>
      </x:c>
      <x:c r="B16" s="4">
        <x:v>0.14000000000000001</x:v>
      </x:c>
      <x:c r="C16" s="3">
        <x:v>0</x:v>
      </x:c>
      <x:c r="D16" s="7">
        <x:f t="shared" si="0"/>
        <x:v>0</x:v>
      </x:c>
    </x:row>
    <x:row r="17">
      <x:c r="A17" s="4" t="s">
        <x:v>19</x:v>
      </x:c>
      <x:c r="B17" s="4">
        <x:v>0.12</x:v>
      </x:c>
      <x:c r="C17" s="3">
        <x:v>-1.13507377979568</x:v>
      </x:c>
      <x:c r="D17" s="7">
        <x:f t="shared" si="0"/>
        <x:v>-1.362088535754816E-3</x:v>
      </x:c>
    </x:row>
    <x:row r="18">
      <x:c r="A18" s="4" t="s">
        <x:v>20</x:v>
      </x:c>
      <x:c r="B18" s="4">
        <x:v>0.1</x:v>
      </x:c>
      <x:c r="C18" s="3">
        <x:v>-0.581395348837209</x:v>
      </x:c>
      <x:c r="D18" s="7">
        <x:f t="shared" si="0"/>
        <x:v>-5.8139534883720897E-4</x:v>
      </x:c>
    </x:row>
    <x:row r="19">
      <x:c r="A19" s="4" t="s">
        <x:v>21</x:v>
      </x:c>
      <x:c r="B19" s="4">
        <x:v>0.1</x:v>
      </x:c>
      <x:c r="C19" s="3">
        <x:v>-10</x:v>
      </x:c>
      <x:c r="D19" s="7">
        <x:f t="shared" si="0"/>
        <x:v>-0.01</x:v>
      </x:c>
    </x:row>
    <x:row r="20">
      <x:c r="A20" s="4" t="s">
        <x:v>22</x:v>
      </x:c>
      <x:c r="B20" s="4">
        <x:v>4.78</x:v>
      </x:c>
      <x:c r="C20" s="3">
        <x:v>-2.19</x:v>
      </x:c>
      <x:c r="D20" s="7">
        <x:f t="shared" si="0"/>
        <x:v>-0.104682</x:v>
      </x:c>
    </x:row>
    <x:row r="21">
      <x:c r="A21" s="4" t="s">
        <x:v>23</x:v>
      </x:c>
      <x:c r="B21" s="4">
        <x:v>0.01</x:v>
      </x:c>
      <x:c r="C21" s="3">
        <x:v>-1.35</x:v>
      </x:c>
      <x:c r="D21" s="7">
        <x:f t="shared" si="0"/>
        <x:v>-1.3500000000000003E-4</x:v>
      </x:c>
    </x:row>
    <x:row r="22">
      <x:c r="A22" s="5" t="s">
        <x:v>24</x:v>
      </x:c>
      <x:c r="B22" s="5" t="n">
        <x:f>SUM(B2:B21)</x:f>
        <x:v>83.53999999999998</x:v>
      </x:c>
      <x:c r="C22" s="5"/>
      <x:c r="D22" s="6" t="n">
        <x:f>SUM(D2:D21)</x:f>
        <x:v>0.8215220049638945</x:v>
      </x:c>
    </x:row>
    <x:row r="23">
      <x:c r="A23" s="4"/>
      <x:c r="B23" s="4"/>
      <x:c r="C23" s="3"/>
      <x:c r="D23" s="7"/>
    </x:row>
    <x:row r="24">
      <x:c r="A24" s="5"/>
      <x:c r="B24" s="5"/>
      <x:c r="C24" s="5"/>
      <x:c r="D24" s="6"/>
    </x:row>
    <x:row r="25">
      <x:c r="A25" s="15"/>
      <x:c r="B25" s="5"/>
      <x:c r="C25" s="5"/>
      <x:c r="D25" s="6"/>
    </x:row>
    <x:row r="27">
      <x:c r="C27" s="5"/>
    </x:row>
    <x:row r="28">
      <x:c r="C28" s="4"/>
      <x:c r="D28" s="4"/>
      <x:c r="E28" s="4"/>
    </x:row>
    <x:row r="29">
      <x:c r="A29" s="29"/>
      <x:c r="B29" s="29"/>
      <x:c r="C29" s="4"/>
      <x:c r="D29" s="4"/>
      <x:c r="E29" s="16"/>
    </x:row>
    <x:row r="30">
      <x:c r="A30" s="29"/>
      <x:c r="B30" s="29"/>
      <x:c r="C30" s="9"/>
      <x:c r="D30" s="18"/>
    </x:row>
    <x:row r="31">
      <x:c r="A31" s="5"/>
      <x:c r="B31" s="30"/>
      <x:c r="C31" s="30"/>
      <x:c r="D31" s="19"/>
      <x:c r="E31" s="5"/>
      <x:c r="F31" s="5"/>
    </x:row>
    <x:row r="32">
      <x:c r="A32" s="17"/>
      <x:c r="B32" s="29"/>
      <x:c r="C32" s="29"/>
      <x:c r="D32" s="24"/>
      <x:c r="E32" s="20"/>
      <x:c r="F32" s="23"/>
    </x:row>
    <x:row r="33">
      <x:c r="A33" s="17"/>
      <x:c r="B33" s="29"/>
      <x:c r="C33" s="29"/>
      <x:c r="D33" s="24"/>
      <x:c r="E33" s="21"/>
      <x:c r="F33" s="23"/>
    </x:row>
    <x:row r="34">
      <x:c r="A34" s="17"/>
      <x:c r="B34" s="29"/>
      <x:c r="C34" s="29"/>
      <x:c r="D34" s="24"/>
      <x:c r="E34" s="21"/>
      <x:c r="F34" s="23"/>
    </x:row>
    <x:row r="35">
      <x:c r="A35" s="17"/>
      <x:c r="B35" s="29"/>
      <x:c r="C35" s="29"/>
      <x:c r="D35" s="24"/>
      <x:c r="E35" s="21"/>
      <x:c r="F35" s="23"/>
    </x:row>
    <x:row r="36">
      <x:c r="A36" s="17"/>
      <x:c r="B36" s="29"/>
      <x:c r="C36" s="29"/>
      <x:c r="D36" s="24"/>
      <x:c r="E36" s="21"/>
      <x:c r="F36" s="23"/>
    </x:row>
    <x:row r="37">
      <x:c r="A37" s="17"/>
      <x:c r="B37" s="29"/>
      <x:c r="C37" s="29"/>
      <x:c r="D37" s="24"/>
      <x:c r="E37" s="21"/>
      <x:c r="F37" s="23"/>
    </x:row>
    <x:row r="38">
      <x:c r="A38" s="17"/>
      <x:c r="B38" s="29"/>
      <x:c r="C38" s="29"/>
      <x:c r="D38" s="24"/>
      <x:c r="E38" s="21"/>
      <x:c r="F38" s="23"/>
    </x:row>
    <x:row r="39">
      <x:c r="A39" s="17"/>
      <x:c r="B39" s="29"/>
      <x:c r="C39" s="29"/>
      <x:c r="D39" s="24"/>
      <x:c r="E39" s="21"/>
      <x:c r="F39" s="23"/>
    </x:row>
    <x:row r="40">
      <x:c r="A40" s="17"/>
      <x:c r="B40" s="29"/>
      <x:c r="C40" s="29"/>
      <x:c r="D40" s="24"/>
      <x:c r="E40" s="21"/>
      <x:c r="F40" s="23"/>
    </x:row>
    <x:row r="41">
      <x:c r="A41" s="17"/>
      <x:c r="B41" s="29"/>
      <x:c r="C41" s="29"/>
      <x:c r="D41" s="24"/>
      <x:c r="E41" s="21"/>
      <x:c r="F41" s="23"/>
    </x:row>
    <x:row r="42">
      <x:c r="A42" s="17"/>
      <x:c r="B42" s="29"/>
      <x:c r="C42" s="29"/>
      <x:c r="D42" s="24"/>
      <x:c r="E42" s="21"/>
      <x:c r="F42" s="23"/>
    </x:row>
    <x:row r="43">
      <x:c r="A43" s="17"/>
      <x:c r="B43" s="29"/>
      <x:c r="C43" s="29"/>
      <x:c r="D43" s="24"/>
      <x:c r="E43" s="21"/>
      <x:c r="F43" s="23"/>
    </x:row>
    <x:row r="44">
      <x:c r="A44" s="17"/>
      <x:c r="B44" s="29"/>
      <x:c r="C44" s="29"/>
      <x:c r="D44" s="24"/>
      <x:c r="E44" s="21"/>
      <x:c r="F44" s="23"/>
    </x:row>
  </x:sheetData>
  <x:mergeCells>
    <x:mergeCell ref="B44:C44"/>
    <x:mergeCell ref="B43:C43"/>
    <x:mergeCell ref="B42:C42"/>
    <x:mergeCell ref="B36:C36"/>
    <x:mergeCell ref="A29:B29"/>
    <x:mergeCell ref="A30:B30"/>
    <x:mergeCell ref="B31:C31"/>
    <x:mergeCell ref="B32:C32"/>
    <x:mergeCell ref="B35:C35"/>
    <x:mergeCell ref="B34:C34"/>
    <x:mergeCell ref="B33:C33"/>
    <x:mergeCell ref="B41:C41"/>
    <x:mergeCell ref="B40:C40"/>
    <x:mergeCell ref="B39:C39"/>
    <x:mergeCell ref="B38:C38"/>
    <x:mergeCell ref="B37:C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" customWidth="1"/>
    <x:col min="2" max="2" width="10.42578125" customWidth="1"/>
    <x:col min="3" max="3" width="11.85546875" customWidth="1"/>
    <x:col min="4" max="4" width="19.5703125" customWidth="1"/>
    <x:col min="5" max="5" width="18.42578125" customWidth="1"/>
    <x:col min="6" max="6" width="11.28515625" customWidth="1"/>
  </x:cols>
  <x:sheetData>
    <x:row r="1">
      <x:c r="A1" s="2" t="s">
        <x:v>0</x:v>
      </x:c>
      <x:c r="B1" s="2" t="s">
        <x:v>25</x:v>
      </x:c>
      <x:c r="C1" s="1" t="s">
        <x:v>2</x:v>
      </x:c>
      <x:c r="D1" s="1" t="s">
        <x:v>3</x:v>
      </x:c>
    </x:row>
    <x:row r="2">
      <x:c r="A2" s="4" t="s">
        <x:v>26</x:v>
      </x:c>
      <x:c r="B2" s="4">
        <x:v>13.28</x:v>
      </x:c>
      <x:c r="C2" s="26">
        <x:v>6.1422413793103399</x:v>
      </x:c>
      <x:c r="D2" s="4" t="n">
        <x:f>B2*C2/100</x:f>
        <x:v>0.8156896551724131</x:v>
      </x:c>
    </x:row>
    <x:row r="3">
      <x:c r="A3" s="4" t="s">
        <x:v>27</x:v>
      </x:c>
      <x:c r="B3" s="4">
        <x:v>6.99</x:v>
      </x:c>
      <x:c r="C3" s="26">
        <x:v>5.4545454545454497</x:v>
      </x:c>
      <x:c r="D3" s="4" t="n">
        <x:f t="shared" ref="D3:D26" si="0">B3*C3/100</x:f>
        <x:v>0.381272727272727</x:v>
      </x:c>
    </x:row>
    <x:row r="4">
      <x:c r="A4" s="4" t="s">
        <x:v>28</x:v>
      </x:c>
      <x:c r="B4" s="4">
        <x:v>21.99</x:v>
      </x:c>
      <x:c r="C4" s="26">
        <x:v>4.9052938319572599</x:v>
      </x:c>
      <x:c r="D4" s="4">
        <x:f t="shared" si="0"/>
        <x:v>1.0786741136474014</x:v>
      </x:c>
    </x:row>
    <x:row r="5">
      <x:c r="A5" s="4" t="s">
        <x:v>29</x:v>
      </x:c>
      <x:c r="B5" s="4">
        <x:v>18.62</x:v>
      </x:c>
      <x:c r="C5" s="26">
        <x:v>5.8020477815699598</x:v>
      </x:c>
      <x:c r="D5" s="4">
        <x:f t="shared" si="0"/>
        <x:v>1.0803412969283266</x:v>
      </x:c>
    </x:row>
    <x:row r="6">
      <x:c r="A6" s="4" t="s">
        <x:v>14</x:v>
      </x:c>
      <x:c r="B6" s="4">
        <x:v>4.29</x:v>
      </x:c>
      <x:c r="C6" s="26">
        <x:v>-9.9529780564263302</x:v>
      </x:c>
      <x:c r="D6" s="4">
        <x:f t="shared" si="0"/>
        <x:v>-0.42698275862068952</x:v>
      </x:c>
    </x:row>
    <x:row r="7">
      <x:c r="A7" s="4" t="s">
        <x:v>5</x:v>
      </x:c>
      <x:c r="B7" s="4">
        <x:v>4.03</x:v>
      </x:c>
      <x:c r="C7" s="26">
        <x:v>6.8181818181818103</x:v>
      </x:c>
      <x:c r="D7" s="4">
        <x:f t="shared" si="0"/>
        <x:v>0.274772727272727</x:v>
      </x:c>
    </x:row>
    <x:row r="8">
      <x:c r="A8" s="4" t="s">
        <x:v>30</x:v>
      </x:c>
      <x:c r="B8" s="4">
        <x:v>5.42</x:v>
      </x:c>
      <x:c r="C8" s="26">
        <x:v>-0.12285012285012201</x:v>
      </x:c>
      <x:c r="D8" s="4">
        <x:f t="shared" si="0"/>
        <x:v>-6.6584766584766135E-3</x:v>
      </x:c>
    </x:row>
    <x:row r="9">
      <x:c r="A9" s="4" t="s">
        <x:v>31</x:v>
      </x:c>
      <x:c r="B9" s="4">
        <x:v>2.82</x:v>
      </x:c>
      <x:c r="C9" s="26">
        <x:v>-1.2048192771084301</x:v>
      </x:c>
      <x:c r="D9" s="4">
        <x:f t="shared" si="0"/>
        <x:v>-3.3975903614457723E-2</x:v>
      </x:c>
    </x:row>
    <x:row r="10">
      <x:c r="A10" s="4" t="s">
        <x:v>10</x:v>
      </x:c>
      <x:c r="B10" s="4">
        <x:v>2.75</x:v>
      </x:c>
      <x:c r="C10" s="26">
        <x:v>3.4251175285426401</x:v>
      </x:c>
      <x:c r="D10" s="4">
        <x:f t="shared" si="0"/>
        <x:v>9.4190732034922606E-2</x:v>
      </x:c>
    </x:row>
    <x:row r="11">
      <x:c r="A11" s="4" t="s">
        <x:v>32</x:v>
      </x:c>
      <x:c r="B11" s="4">
        <x:v>1.89</x:v>
      </x:c>
      <x:c r="C11" s="26">
        <x:v>-0.434782608695652</x:v>
      </x:c>
      <x:c r="D11" s="4">
        <x:f t="shared" si="0"/>
        <x:v>-8.2173913043478222E-3</x:v>
      </x:c>
    </x:row>
    <x:row r="12">
      <x:c r="A12" s="4" t="s">
        <x:v>33</x:v>
      </x:c>
      <x:c r="B12" s="4">
        <x:v>1.1100000000000001</x:v>
      </x:c>
      <x:c r="C12" s="26">
        <x:v>9.9589322381930092</x:v>
      </x:c>
      <x:c r="D12" s="4">
        <x:f t="shared" si="0"/>
        <x:v>0.11054414784394241</x:v>
      </x:c>
    </x:row>
    <x:row r="13">
      <x:c r="A13" s="4" t="s">
        <x:v>21</x:v>
      </x:c>
      <x:c r="B13" s="4">
        <x:v>2.25</x:v>
      </x:c>
      <x:c r="C13" s="26">
        <x:v>-10</x:v>
      </x:c>
      <x:c r="D13" s="4">
        <x:f t="shared" si="0"/>
        <x:v>-0.22500000000000001</x:v>
      </x:c>
    </x:row>
    <x:row r="14">
      <x:c r="A14" s="4" t="s">
        <x:v>7</x:v>
      </x:c>
      <x:c r="B14" s="4">
        <x:v>1.89</x:v>
      </x:c>
      <x:c r="C14" s="26">
        <x:v>0.26437541308658202</x:v>
      </x:c>
      <x:c r="D14" s="4">
        <x:f t="shared" si="0"/>
        <x:v>4.9966953073364E-3</x:v>
      </x:c>
    </x:row>
    <x:row r="15">
      <x:c r="A15" s="4" t="s">
        <x:v>11</x:v>
      </x:c>
      <x:c r="B15" s="4">
        <x:v>0.66</x:v>
      </x:c>
      <x:c r="C15" s="26">
        <x:v>5.92417061611374E-2</x:v>
      </x:c>
      <x:c r="D15" s="4">
        <x:f t="shared" si="0"/>
        <x:v>3.9099526066350683E-4</x:v>
      </x:c>
    </x:row>
    <x:row r="16">
      <x:c r="A16" s="4" t="s">
        <x:v>20</x:v>
      </x:c>
      <x:c r="B16" s="4">
        <x:v>0.95</x:v>
      </x:c>
      <x:c r="C16" s="26">
        <x:v>-0.581395348837209</x:v>
      </x:c>
      <x:c r="D16" s="4">
        <x:f t="shared" si="0"/>
        <x:v>-5.5232558139534848E-3</x:v>
      </x:c>
    </x:row>
    <x:row r="17">
      <x:c r="A17" s="4" t="s">
        <x:v>34</x:v>
      </x:c>
      <x:c r="B17" s="4">
        <x:v>0.38</x:v>
      </x:c>
      <x:c r="C17" s="26">
        <x:v>-0.23837902264600699</x:v>
      </x:c>
      <x:c r="D17" s="4">
        <x:f t="shared" si="0"/>
        <x:v>-9.0584028605482662E-4</x:v>
      </x:c>
    </x:row>
    <x:row r="18">
      <x:c r="A18" s="4" t="s">
        <x:v>35</x:v>
      </x:c>
      <x:c r="B18" s="4">
        <x:v>0.13</x:v>
      </x:c>
      <x:c r="C18" s="26">
        <x:v>-1.1049723756906</x:v>
      </x:c>
      <x:c r="D18" s="4">
        <x:f t="shared" si="0"/>
        <x:v>-1.4364640883977799E-3</x:v>
      </x:c>
    </x:row>
    <x:row r="19">
      <x:c r="A19" s="4" t="s">
        <x:v>9</x:v>
      </x:c>
      <x:c r="B19" s="4">
        <x:v>1.64</x:v>
      </x:c>
      <x:c r="C19" s="26">
        <x:v>1.5384615384615301</x:v>
      </x:c>
      <x:c r="D19" s="4">
        <x:f t="shared" si="0"/>
        <x:v>2.5230769230769091E-2</x:v>
      </x:c>
    </x:row>
    <x:row r="20">
      <x:c r="A20" s="4" t="s">
        <x:v>36</x:v>
      </x:c>
      <x:c r="B20" s="4">
        <x:v>7.0000000000000007E-2</x:v>
      </x:c>
      <x:c r="C20" s="26">
        <x:v>-0.64724919093851097</x:v>
      </x:c>
      <x:c r="D20" s="4">
        <x:f t="shared" si="0"/>
        <x:v>-4.5307443365695776E-4</x:v>
      </x:c>
    </x:row>
    <x:row r="21">
      <x:c r="A21" s="4" t="s">
        <x:v>37</x:v>
      </x:c>
      <x:c r="B21" s="4">
        <x:v>0.04</x:v>
      </x:c>
      <x:c r="C21" s="26">
        <x:v>-5.1418439716312001</x:v>
      </x:c>
      <x:c r="D21" s="4">
        <x:f t="shared" si="0"/>
        <x:v>-2.0567375886524799E-3</x:v>
      </x:c>
    </x:row>
    <x:row r="22">
      <x:c r="A22" s="4" t="s">
        <x:v>38</x:v>
      </x:c>
      <x:c r="B22" s="4">
        <x:v>7.0000000000000007E-2</x:v>
      </x:c>
      <x:c r="C22" s="26">
        <x:v>-1.0638297872340401</x:v>
      </x:c>
      <x:c r="D22" s="4">
        <x:f t="shared" si="0"/>
        <x:v>-7.4468085106382809E-4</x:v>
      </x:c>
    </x:row>
    <x:row r="23">
      <x:c r="A23" s="4" t="s">
        <x:v>39</x:v>
      </x:c>
      <x:c r="B23" s="4">
        <x:v>10.76</x:v>
      </x:c>
      <x:c r="C23" s="26">
        <x:v>-7.67</x:v>
      </x:c>
      <x:c r="D23" s="4">
        <x:f t="shared" si="0"/>
        <x:v>-0.82529200000000003</x:v>
      </x:c>
    </x:row>
    <x:row r="24">
      <x:c r="A24" s="4" t="s">
        <x:v>40</x:v>
      </x:c>
      <x:c r="B24" s="4">
        <x:v>11.25</x:v>
      </x:c>
      <x:c r="C24" s="26">
        <x:v>-8.23</x:v>
      </x:c>
      <x:c r="D24" s="4">
        <x:f t="shared" si="0"/>
        <x:v>-0.925875</x:v>
      </x:c>
    </x:row>
    <x:row r="25">
      <x:c r="A25" s="4" t="s">
        <x:v>41</x:v>
      </x:c>
      <x:c r="B25" s="4">
        <x:v>1.66</x:v>
      </x:c>
      <x:c r="C25" s="3">
        <x:v>0.13</x:v>
      </x:c>
      <x:c r="D25" s="4">
        <x:f t="shared" si="0"/>
        <x:v>2.1579999999999998E-3</x:v>
      </x:c>
    </x:row>
    <x:row r="26">
      <x:c r="A26" s="4" t="s">
        <x:v>42</x:v>
      </x:c>
      <x:c r="B26" s="4">
        <x:v>0.02</x:v>
      </x:c>
      <x:c r="C26" s="3">
        <x:v>0.81</x:v>
      </x:c>
      <x:c r="D26" s="4">
        <x:f t="shared" si="0"/>
        <x:v>1.6200000000000003E-4</x:v>
      </x:c>
    </x:row>
    <x:row r="27">
      <x:c r="A27" s="12" t="s">
        <x:v>24</x:v>
      </x:c>
      <x:c r="B27" s="5" t="n">
        <x:f>SUM(B2:B26)</x:f>
        <x:v>114.95999999999998</x:v>
      </x:c>
      <x:c r="D27" s="6" t="n">
        <x:f>SUM(D2:D26)</x:f>
        <x:v>1.405302276711478</x:v>
      </x:c>
    </x:row>
    <x:row r="28">
      <x:c r="A28" s="4"/>
      <x:c r="B28" s="4"/>
      <x:c r="C28" s="8"/>
      <x:c r="D28" s="4"/>
    </x:row>
    <x:row r="29">
      <x:c r="A29" s="4"/>
      <x:c r="B29" s="4"/>
      <x:c r="C29" s="8"/>
      <x:c r="D29" s="4"/>
    </x:row>
    <x:row r="30">
      <x:c r="A30" s="4"/>
      <x:c r="B30" s="4"/>
      <x:c r="C30" s="8"/>
      <x:c r="D30" s="4"/>
    </x:row>
    <x:row r="31">
      <x:c r="A31" s="4"/>
      <x:c r="B31" s="4"/>
      <x:c r="C31" s="8"/>
      <x:c r="D31" s="4"/>
    </x:row>
    <x:row r="32">
      <x:c r="A32" s="4"/>
      <x:c r="B32" s="4"/>
      <x:c r="C32" s="8"/>
      <x:c r="D32" s="4"/>
    </x:row>
    <x:row r="33">
      <x:c r="A33" s="4"/>
      <x:c r="B33" s="11"/>
      <x:c r="C33" s="14"/>
      <x:c r="D33" s="4"/>
    </x:row>
    <x:row r="34">
      <x:c r="A34" s="4"/>
      <x:c r="B34" s="4"/>
      <x:c r="C34" s="8"/>
      <x:c r="D34" s="4"/>
    </x:row>
    <x:row r="35">
      <x:c r="A35" s="4"/>
      <x:c r="B35" s="4"/>
      <x:c r="C35" s="8"/>
      <x:c r="D35" s="4"/>
    </x:row>
    <x:row r="36">
      <x:c r="A36" s="4"/>
      <x:c r="B36" s="4"/>
      <x:c r="C36" s="8"/>
      <x:c r="D36" s="4"/>
    </x:row>
    <x:row r="37">
      <x:c r="A37" s="4"/>
      <x:c r="B37" s="4"/>
      <x:c r="C37" s="8"/>
      <x:c r="D37" s="4"/>
    </x:row>
    <x:row r="38">
      <x:c r="A38" s="4"/>
      <x:c r="B38" s="4"/>
      <x:c r="C38" s="8"/>
      <x:c r="D38" s="4"/>
    </x:row>
    <x:row r="39">
      <x:c r="A39" s="4"/>
      <x:c r="B39" s="4"/>
      <x:c r="C39" s="8"/>
      <x:c r="D39" s="4"/>
    </x:row>
    <x:row r="40">
      <x:c r="A40" s="4"/>
      <x:c r="B40" s="4"/>
      <x:c r="C40" s="8"/>
      <x:c r="D40" s="4"/>
    </x:row>
    <x:row r="41">
      <x:c r="A41" s="4"/>
      <x:c r="B41" s="4"/>
      <x:c r="C41" s="4"/>
      <x:c r="D41" s="4"/>
    </x:row>
    <x:row r="42">
      <x:c r="A42" s="4"/>
      <x:c r="B42" s="4"/>
      <x:c r="C42" s="4"/>
      <x:c r="D42" s="4"/>
    </x:row>
    <x:row r="43">
      <x:c r="A43" s="4"/>
      <x:c r="B43" s="4"/>
      <x:c r="C43" s="4"/>
      <x:c r="D43" s="4"/>
    </x:row>
    <x:row r="44">
      <x:c r="A44" s="12"/>
      <x:c r="B44" s="5"/>
      <x:c r="D44" s="6"/>
    </x:row>
    <x:row r="47">
      <x:c r="C47" s="5"/>
    </x:row>
    <x:row r="48">
      <x:c r="C48" s="4"/>
      <x:c r="D48" s="4"/>
      <x:c r="E48" s="4"/>
    </x:row>
    <x:row r="49">
      <x:c r="A49" s="29"/>
      <x:c r="B49" s="29"/>
      <x:c r="C49" s="4"/>
      <x:c r="D49" s="4"/>
      <x:c r="E49" s="16"/>
    </x:row>
    <x:row r="50">
      <x:c r="A50" s="29"/>
      <x:c r="B50" s="29"/>
      <x:c r="C50" s="9"/>
      <x:c r="D50" s="9"/>
    </x:row>
    <x:row r="55">
      <x:c r="A55" s="5"/>
      <x:c r="B55" s="30"/>
      <x:c r="C55" s="30"/>
      <x:c r="D55" s="19"/>
      <x:c r="E55" s="5"/>
      <x:c r="F55" s="5"/>
    </x:row>
    <x:row r="56">
      <x:c r="A56" s="17"/>
      <x:c r="B56" s="29"/>
      <x:c r="C56" s="29"/>
      <x:c r="D56" s="20"/>
      <x:c r="E56" s="20"/>
      <x:c r="F56" s="23"/>
    </x:row>
    <x:row r="57">
      <x:c r="A57" s="17"/>
      <x:c r="B57" s="29"/>
      <x:c r="C57" s="29"/>
      <x:c r="D57" s="20"/>
      <x:c r="E57" s="20"/>
      <x:c r="F57" s="23"/>
    </x:row>
    <x:row r="58">
      <x:c r="A58" s="17"/>
      <x:c r="B58" s="29"/>
      <x:c r="C58" s="29"/>
      <x:c r="D58" s="20"/>
      <x:c r="E58" s="20"/>
      <x:c r="F58" s="23"/>
    </x:row>
    <x:row r="59">
      <x:c r="A59" s="17"/>
      <x:c r="B59" s="29"/>
      <x:c r="C59" s="29"/>
      <x:c r="D59" s="20"/>
      <x:c r="E59" s="20"/>
      <x:c r="F59" s="23"/>
    </x:row>
    <x:row r="60">
      <x:c r="A60" s="17"/>
      <x:c r="B60" s="29"/>
      <x:c r="C60" s="29"/>
      <x:c r="D60" s="20"/>
      <x:c r="E60" s="20"/>
      <x:c r="F60" s="23"/>
    </x:row>
    <x:row r="61">
      <x:c r="A61" s="17"/>
      <x:c r="B61" s="29"/>
      <x:c r="C61" s="29"/>
      <x:c r="D61" s="20"/>
      <x:c r="E61" s="20"/>
      <x:c r="F61" s="23"/>
    </x:row>
    <x:row r="62">
      <x:c r="A62" s="17"/>
      <x:c r="B62" s="29"/>
      <x:c r="C62" s="29"/>
      <x:c r="D62" s="20"/>
      <x:c r="E62" s="20"/>
      <x:c r="F62" s="23"/>
    </x:row>
    <x:row r="63">
      <x:c r="A63" s="17"/>
      <x:c r="B63" s="29"/>
      <x:c r="C63" s="29"/>
      <x:c r="D63" s="20"/>
      <x:c r="E63" s="20"/>
      <x:c r="F63" s="23"/>
    </x:row>
    <x:row r="64">
      <x:c r="A64" s="17"/>
      <x:c r="B64" s="29"/>
      <x:c r="C64" s="29"/>
      <x:c r="D64" s="20"/>
      <x:c r="E64" s="20"/>
      <x:c r="F64" s="23"/>
    </x:row>
    <x:row r="65">
      <x:c r="A65" s="17"/>
      <x:c r="B65" s="29"/>
      <x:c r="C65" s="29"/>
      <x:c r="D65" s="20"/>
      <x:c r="E65" s="20"/>
      <x:c r="F65" s="23"/>
    </x:row>
    <x:row r="66">
      <x:c r="A66" s="17"/>
      <x:c r="B66" s="29"/>
      <x:c r="C66" s="29"/>
      <x:c r="D66" s="20"/>
      <x:c r="E66" s="20"/>
      <x:c r="F66" s="23"/>
    </x:row>
    <x:row r="67">
      <x:c r="A67" s="17"/>
      <x:c r="B67" s="29"/>
      <x:c r="C67" s="29"/>
      <x:c r="D67" s="20"/>
      <x:c r="E67" s="20"/>
      <x:c r="F67" s="23"/>
    </x:row>
    <x:row r="68">
      <x:c r="A68" s="17"/>
      <x:c r="B68" s="29"/>
      <x:c r="C68" s="29"/>
      <x:c r="D68" s="20"/>
      <x:c r="E68" s="20"/>
      <x:c r="F68" s="23"/>
    </x:row>
    <x:row r="69">
      <x:c r="A69" s="17"/>
      <x:c r="B69" s="29"/>
      <x:c r="C69" s="29"/>
      <x:c r="D69" s="18"/>
      <x:c r="E69" s="21"/>
      <x:c r="F69" s="23"/>
    </x:row>
    <x:row r="70">
      <x:c r="A70" s="17"/>
      <x:c r="B70" s="29"/>
      <x:c r="C70" s="29"/>
      <x:c r="D70" s="18"/>
      <x:c r="E70" s="21"/>
      <x:c r="F70" s="23"/>
    </x:row>
    <x:row r="71">
      <x:c r="A71" s="17"/>
      <x:c r="B71" s="29"/>
      <x:c r="C71" s="29"/>
      <x:c r="D71" s="18"/>
      <x:c r="E71" s="21"/>
      <x:c r="F71" s="23"/>
    </x:row>
    <x:row r="72">
      <x:c r="A72" s="17"/>
      <x:c r="B72" s="29"/>
      <x:c r="C72" s="29"/>
      <x:c r="D72" s="18"/>
      <x:c r="E72" s="21"/>
      <x:c r="F72" s="23"/>
    </x:row>
    <x:row r="73">
      <x:c r="A73" s="17"/>
      <x:c r="B73" s="29"/>
      <x:c r="C73" s="29"/>
      <x:c r="D73" s="18"/>
      <x:c r="E73" s="21"/>
      <x:c r="F73" s="23"/>
    </x:row>
    <x:row r="74">
      <x:c r="A74" s="17"/>
      <x:c r="B74" s="29"/>
      <x:c r="C74" s="29"/>
      <x:c r="D74" s="18"/>
      <x:c r="E74" s="21"/>
      <x:c r="F74" s="23"/>
    </x:row>
    <x:row r="75">
      <x:c r="A75" s="17"/>
      <x:c r="B75" s="29"/>
      <x:c r="C75" s="29"/>
      <x:c r="D75" s="18"/>
      <x:c r="E75" s="21"/>
      <x:c r="F75" s="23"/>
    </x:row>
    <x:row r="76">
      <x:c r="A76" s="17"/>
      <x:c r="B76" s="29"/>
      <x:c r="C76" s="29"/>
      <x:c r="D76" s="18"/>
      <x:c r="E76" s="21"/>
      <x:c r="F76" s="23"/>
    </x:row>
    <x:row r="77">
      <x:c r="A77" s="17"/>
      <x:c r="B77" s="29"/>
      <x:c r="C77" s="29"/>
      <x:c r="D77" s="18"/>
      <x:c r="E77" s="21"/>
      <x:c r="F77" s="23"/>
    </x:row>
    <x:row r="78">
      <x:c r="A78" s="17"/>
      <x:c r="B78" s="29"/>
      <x:c r="C78" s="29"/>
      <x:c r="D78" s="18"/>
      <x:c r="E78" s="21"/>
      <x:c r="F78" s="23"/>
    </x:row>
    <x:row r="79">
      <x:c r="A79" s="17"/>
      <x:c r="B79" s="29"/>
      <x:c r="C79" s="29"/>
      <x:c r="D79" s="18"/>
      <x:c r="E79" s="21"/>
      <x:c r="F79" s="23"/>
    </x:row>
    <x:row r="80">
      <x:c r="A80" s="17"/>
      <x:c r="B80" s="29"/>
      <x:c r="C80" s="29"/>
      <x:c r="D80" s="18"/>
      <x:c r="E80" s="21"/>
      <x:c r="F80" s="23"/>
    </x:row>
    <x:row r="81">
      <x:c r="A81" s="17"/>
      <x:c r="B81" s="29"/>
      <x:c r="C81" s="29"/>
      <x:c r="D81" s="18"/>
      <x:c r="E81" s="21"/>
      <x:c r="F81" s="23"/>
    </x:row>
  </x:sheetData>
  <x:mergeCells>
    <x:mergeCell ref="B78:C78"/>
    <x:mergeCell ref="B79:C79"/>
    <x:mergeCell ref="B80:C80"/>
    <x:mergeCell ref="B81:C81"/>
    <x:mergeCell ref="B73:C73"/>
    <x:mergeCell ref="B74:C74"/>
    <x:mergeCell ref="B75:C75"/>
    <x:mergeCell ref="B76:C76"/>
    <x:mergeCell ref="B77:C77"/>
    <x:mergeCell ref="B68:C68"/>
    <x:mergeCell ref="B69:C69"/>
    <x:mergeCell ref="B70:C70"/>
    <x:mergeCell ref="B71:C71"/>
    <x:mergeCell ref="B72:C72"/>
    <x:mergeCell ref="B63:C63"/>
    <x:mergeCell ref="B64:C64"/>
    <x:mergeCell ref="B65:C65"/>
    <x:mergeCell ref="B66:C66"/>
    <x:mergeCell ref="B67:C67"/>
    <x:mergeCell ref="B59:C59"/>
    <x:mergeCell ref="B60:C60"/>
    <x:mergeCell ref="B61:C61"/>
    <x:mergeCell ref="B62:C62"/>
    <x:mergeCell ref="B58:C58"/>
    <x:mergeCell ref="B57:C57"/>
    <x:mergeCell ref="A49:B49"/>
    <x:mergeCell ref="A50:B50"/>
    <x:mergeCell ref="B55:C55"/>
    <x:mergeCell ref="B56:C5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7109375" customWidth="1"/>
    <x:col min="2" max="2" width="10.85546875" customWidth="1"/>
    <x:col min="3" max="3" width="12.7109375" customWidth="1"/>
    <x:col min="4" max="4" width="20.5703125" customWidth="1"/>
    <x:col min="5" max="5" width="17" customWidth="1"/>
  </x:cols>
  <x:sheetData>
    <x:row r="1">
      <x:c r="A1" s="2" t="s">
        <x:v>0</x:v>
      </x:c>
      <x:c r="B1" s="2" t="s">
        <x:v>1</x:v>
      </x:c>
      <x:c r="C1" s="1" t="s">
        <x:v>2</x:v>
      </x:c>
      <x:c r="D1" s="1" t="s">
        <x:v>3</x:v>
      </x:c>
    </x:row>
    <x:row r="2">
      <x:c r="A2" s="4" t="s">
        <x:v>43</x:v>
      </x:c>
      <x:c r="B2" s="4">
        <x:v>43.26</x:v>
      </x:c>
      <x:c r="C2" s="8">
        <x:v>0.31595576619273302</x:v>
      </x:c>
      <x:c r="D2" s="28" t="n">
        <x:f>B2*C2/100</x:f>
        <x:v>0.1366824644549763</x:v>
      </x:c>
    </x:row>
    <x:row r="3">
      <x:c r="A3" s="4" t="s">
        <x:v>44</x:v>
      </x:c>
      <x:c r="B3" s="4">
        <x:v>2.85</x:v>
      </x:c>
      <x:c r="C3" s="8">
        <x:v>1.6826923076922999</x:v>
      </x:c>
      <x:c r="D3" s="28" t="n">
        <x:f t="shared" ref="D3:D9" si="0">B3*C3/100</x:f>
        <x:v>0.04795673076923055</x:v>
      </x:c>
    </x:row>
    <x:row r="4">
      <x:c r="A4" s="4" t="s">
        <x:v>45</x:v>
      </x:c>
      <x:c r="B4" s="4">
        <x:v>0.06</x:v>
      </x:c>
      <x:c r="C4" s="8">
        <x:v>-9.9731903485254598</x:v>
      </x:c>
      <x:c r="D4" s="28">
        <x:f t="shared" si="0"/>
        <x:v>-5.9839142091152753E-3</x:v>
      </x:c>
    </x:row>
    <x:row r="5">
      <x:c r="A5" s="4" t="s">
        <x:v>46</x:v>
      </x:c>
      <x:c r="B5" s="4">
        <x:v>25.43</x:v>
      </x:c>
      <x:c r="C5" s="4">
        <x:v>1.49</x:v>
      </x:c>
      <x:c r="D5" s="28">
        <x:f t="shared" si="0"/>
        <x:v>0.37890700000000005</x:v>
      </x:c>
    </x:row>
    <x:row r="6">
      <x:c r="A6" s="4" t="s">
        <x:v>47</x:v>
      </x:c>
      <x:c r="B6" s="4">
        <x:v>5.29</x:v>
      </x:c>
      <x:c r="C6" s="4">
        <x:v>0.12</x:v>
      </x:c>
      <x:c r="D6" s="28">
        <x:f t="shared" si="0"/>
        <x:v>6.3480000000000003E-3</x:v>
      </x:c>
    </x:row>
    <x:row r="7">
      <x:c r="A7" s="4" t="s">
        <x:v>48</x:v>
      </x:c>
      <x:c r="B7" s="4">
        <x:v>0.38</x:v>
      </x:c>
      <x:c r="C7" s="4">
        <x:v>2.79</x:v>
      </x:c>
      <x:c r="D7" s="28">
        <x:f t="shared" si="0"/>
        <x:v>1.0602E-2</x:v>
      </x:c>
    </x:row>
    <x:row r="8">
      <x:c r="A8" s="4" t="s">
        <x:v>49</x:v>
      </x:c>
      <x:c r="B8" s="4">
        <x:v>0.13</x:v>
      </x:c>
      <x:c r="C8" s="4">
        <x:v>0.32</x:v>
      </x:c>
      <x:c r="D8" s="28">
        <x:f t="shared" si="0"/>
        <x:v>4.1600000000000003E-4</x:v>
      </x:c>
    </x:row>
    <x:row r="9">
      <x:c r="A9" s="4" t="s">
        <x:v>50</x:v>
      </x:c>
      <x:c r="B9" s="4">
        <x:v>0.03</x:v>
      </x:c>
      <x:c r="C9" s="4">
        <x:v>0.16</x:v>
      </x:c>
      <x:c r="D9" s="28">
        <x:f t="shared" si="0"/>
        <x:v>4.7999999999999994E-5</x:v>
      </x:c>
      <x:c r="E9" s="4"/>
    </x:row>
    <x:row r="10">
      <x:c r="A10" s="12" t="s">
        <x:v>24</x:v>
      </x:c>
      <x:c r="B10" s="5" t="n">
        <x:f>B2++B3+B4+B5+B6+B7+B8+B9</x:f>
        <x:v>77.42999999999999</x:v>
      </x:c>
      <x:c r="C10" s="4"/>
      <x:c r="D10" s="6" t="n">
        <x:f>D2+D3+D4+D5+D6+D7+D8+D9</x:f>
        <x:v>0.5749762810150917</x:v>
      </x:c>
      <x:c r="E10" s="16"/>
    </x:row>
    <x:row r="11">
      <x:c r="A11" s="29"/>
      <x:c r="B11" s="29"/>
      <x:c r="C11" s="10"/>
      <x:c r="D11" s="10"/>
    </x:row>
    <x:row r="31">
      <x:c r="A31" s="5"/>
      <x:c r="B31" s="30"/>
      <x:c r="C31" s="30"/>
      <x:c r="D31" s="19"/>
      <x:c r="E31" s="5"/>
      <x:c r="F31" s="5"/>
    </x:row>
    <x:row r="32">
      <x:c r="A32" s="22"/>
      <x:c r="B32" s="29"/>
      <x:c r="C32" s="29"/>
      <x:c r="D32" s="20"/>
      <x:c r="E32" s="20"/>
      <x:c r="F32" s="23"/>
    </x:row>
    <x:row r="33">
      <x:c r="A33" s="22"/>
      <x:c r="B33" s="29"/>
      <x:c r="C33" s="29"/>
      <x:c r="D33" s="20"/>
      <x:c r="E33" s="20"/>
      <x:c r="F33" s="23"/>
    </x:row>
    <x:row r="34">
      <x:c r="A34" s="22"/>
      <x:c r="B34" s="29"/>
      <x:c r="C34" s="29"/>
      <x:c r="D34" s="20"/>
      <x:c r="E34" s="20"/>
      <x:c r="F34" s="23"/>
    </x:row>
    <x:row r="35">
      <x:c r="A35" s="22"/>
      <x:c r="B35" s="29"/>
      <x:c r="C35" s="29"/>
      <x:c r="D35" s="20"/>
      <x:c r="E35" s="20"/>
      <x:c r="F35" s="23"/>
    </x:row>
    <x:row r="36">
      <x:c r="A36" s="22"/>
      <x:c r="B36" s="29"/>
      <x:c r="C36" s="29"/>
      <x:c r="D36" s="20"/>
      <x:c r="E36" s="20"/>
      <x:c r="F36" s="23"/>
    </x:row>
    <x:row r="37">
      <x:c r="A37" s="22"/>
      <x:c r="B37" s="29"/>
      <x:c r="C37" s="29"/>
      <x:c r="D37" s="20"/>
      <x:c r="E37" s="20"/>
      <x:c r="F37" s="23"/>
    </x:row>
    <x:row r="38">
      <x:c r="A38" s="22"/>
      <x:c r="B38" s="29"/>
      <x:c r="C38" s="29"/>
      <x:c r="D38" s="20"/>
      <x:c r="E38" s="20"/>
      <x:c r="F38" s="23"/>
    </x:row>
    <x:row r="39">
      <x:c r="A39" s="22"/>
      <x:c r="B39" s="29"/>
      <x:c r="C39" s="29"/>
      <x:c r="D39" s="20"/>
      <x:c r="E39" s="20"/>
      <x:c r="F39" s="23"/>
    </x:row>
    <x:row r="40">
      <x:c r="A40" s="22"/>
      <x:c r="B40" s="29"/>
      <x:c r="C40" s="29"/>
      <x:c r="D40" s="20"/>
      <x:c r="E40" s="20"/>
      <x:c r="F40" s="23"/>
    </x:row>
    <x:row r="41">
      <x:c r="A41" s="22"/>
      <x:c r="B41" s="29"/>
      <x:c r="C41" s="29"/>
      <x:c r="D41" s="20"/>
      <x:c r="E41" s="20"/>
      <x:c r="F41" s="23"/>
    </x:row>
    <x:row r="42">
      <x:c r="A42" s="22"/>
      <x:c r="B42" s="29"/>
      <x:c r="C42" s="29"/>
      <x:c r="D42" s="20"/>
      <x:c r="E42" s="20"/>
      <x:c r="F42" s="23"/>
    </x:row>
    <x:row r="43">
      <x:c r="A43" s="22"/>
      <x:c r="B43" s="29"/>
      <x:c r="C43" s="29"/>
      <x:c r="D43" s="20"/>
      <x:c r="E43" s="20"/>
      <x:c r="F43" s="23"/>
    </x:row>
    <x:row r="44">
      <x:c r="A44" s="22"/>
      <x:c r="B44" s="29"/>
      <x:c r="C44" s="29"/>
      <x:c r="D44" s="20"/>
      <x:c r="E44" s="20"/>
      <x:c r="F44" s="23"/>
    </x:row>
    <x:row r="45">
      <x:c r="A45" s="22"/>
      <x:c r="B45" s="29"/>
      <x:c r="C45" s="29"/>
      <x:c r="D45" s="20"/>
      <x:c r="E45" s="20"/>
      <x:c r="F45" s="23"/>
    </x:row>
    <x:row r="46">
      <x:c r="A46" s="22"/>
      <x:c r="B46" s="29"/>
      <x:c r="C46" s="29"/>
      <x:c r="D46" s="20"/>
      <x:c r="E46" s="20"/>
      <x:c r="F46" s="23"/>
    </x:row>
    <x:row r="47">
      <x:c r="A47" s="22"/>
      <x:c r="B47" s="29"/>
      <x:c r="C47" s="29"/>
      <x:c r="D47" s="20"/>
      <x:c r="E47" s="20"/>
      <x:c r="F47" s="23"/>
    </x:row>
    <x:row r="48">
      <x:c r="A48" s="22"/>
      <x:c r="B48" s="29"/>
      <x:c r="C48" s="29"/>
      <x:c r="D48" s="20"/>
      <x:c r="E48" s="20"/>
      <x:c r="F48" s="23"/>
    </x:row>
    <x:row r="49">
      <x:c r="A49" s="22"/>
      <x:c r="B49" s="29"/>
      <x:c r="C49" s="29"/>
      <x:c r="D49" s="20"/>
      <x:c r="E49" s="20"/>
      <x:c r="F49" s="23"/>
    </x:row>
    <x:row r="50">
      <x:c r="A50" s="22"/>
      <x:c r="B50" s="29"/>
      <x:c r="C50" s="29"/>
      <x:c r="D50" s="20"/>
      <x:c r="E50" s="20"/>
      <x:c r="F50" s="23"/>
    </x:row>
    <x:row r="51">
      <x:c r="A51" s="22"/>
      <x:c r="B51" s="29"/>
      <x:c r="C51" s="29"/>
      <x:c r="D51" s="20"/>
      <x:c r="E51" s="20"/>
      <x:c r="F51" s="23"/>
    </x:row>
    <x:row r="52">
      <x:c r="A52" s="22"/>
      <x:c r="B52" s="29"/>
      <x:c r="C52" s="29"/>
      <x:c r="D52" s="20"/>
      <x:c r="E52" s="20"/>
      <x:c r="F52" s="23"/>
    </x:row>
    <x:row r="53">
      <x:c r="A53" s="22"/>
      <x:c r="B53" s="29"/>
      <x:c r="C53" s="29"/>
      <x:c r="D53" s="20"/>
      <x:c r="E53" s="20"/>
      <x:c r="F53" s="23"/>
    </x:row>
    <x:row r="54">
      <x:c r="A54" s="22"/>
      <x:c r="B54" s="29"/>
      <x:c r="C54" s="29"/>
      <x:c r="D54" s="20"/>
      <x:c r="E54" s="20"/>
      <x:c r="F54" s="23"/>
    </x:row>
    <x:row r="55">
      <x:c r="A55" s="22"/>
      <x:c r="B55" s="29"/>
      <x:c r="C55" s="29"/>
      <x:c r="D55" s="20"/>
      <x:c r="E55" s="20"/>
      <x:c r="F55" s="23"/>
    </x:row>
    <x:row r="56">
      <x:c r="A56" s="22"/>
      <x:c r="B56" s="29"/>
      <x:c r="C56" s="29"/>
      <x:c r="D56" s="20"/>
      <x:c r="E56" s="20"/>
      <x:c r="F56" s="23"/>
    </x:row>
    <x:row r="57">
      <x:c r="A57" s="22"/>
      <x:c r="B57" s="29"/>
      <x:c r="C57" s="29"/>
      <x:c r="D57" s="20"/>
      <x:c r="E57" s="20"/>
      <x:c r="F57" s="23"/>
    </x:row>
    <x:row r="58">
      <x:c r="A58" s="22"/>
      <x:c r="B58" s="29"/>
      <x:c r="C58" s="29"/>
      <x:c r="D58" s="20"/>
      <x:c r="E58" s="20"/>
      <x:c r="F58" s="23"/>
    </x:row>
    <x:row r="59">
      <x:c r="A59" s="22"/>
      <x:c r="B59" s="29"/>
      <x:c r="C59" s="29"/>
      <x:c r="D59" s="20"/>
      <x:c r="E59" s="20"/>
      <x:c r="F59" s="23"/>
    </x:row>
    <x:row r="60">
      <x:c r="A60" s="22"/>
      <x:c r="B60" s="29"/>
      <x:c r="C60" s="29"/>
      <x:c r="D60" s="20"/>
      <x:c r="E60" s="20"/>
      <x:c r="F60" s="23"/>
    </x:row>
    <x:row r="61">
      <x:c r="A61" s="22"/>
      <x:c r="B61" s="29"/>
      <x:c r="C61" s="29"/>
      <x:c r="D61" s="20"/>
      <x:c r="E61" s="20"/>
      <x:c r="F61" s="23"/>
    </x:row>
    <x:row r="62">
      <x:c r="A62" s="22"/>
      <x:c r="B62" s="29"/>
      <x:c r="C62" s="29"/>
      <x:c r="D62" s="20"/>
      <x:c r="E62" s="20"/>
      <x:c r="F62" s="23"/>
    </x:row>
    <x:row r="63">
      <x:c r="A63" s="22"/>
      <x:c r="B63" s="29"/>
      <x:c r="C63" s="29"/>
      <x:c r="D63" s="20"/>
      <x:c r="E63" s="20"/>
      <x:c r="F63" s="23"/>
    </x:row>
    <x:row r="64">
      <x:c r="A64" s="22"/>
      <x:c r="B64" s="29"/>
      <x:c r="C64" s="29"/>
      <x:c r="D64" s="20"/>
      <x:c r="E64" s="20"/>
      <x:c r="F64" s="23"/>
    </x:row>
    <x:row r="65">
      <x:c r="A65" s="22"/>
      <x:c r="B65" s="29"/>
      <x:c r="C65" s="29"/>
      <x:c r="D65" s="20"/>
      <x:c r="E65" s="20"/>
      <x:c r="F65" s="23"/>
    </x:row>
    <x:row r="66">
      <x:c r="A66" s="22"/>
      <x:c r="B66" s="29"/>
      <x:c r="C66" s="29"/>
      <x:c r="D66" s="20"/>
      <x:c r="E66" s="20"/>
      <x:c r="F66" s="23"/>
    </x:row>
    <x:row r="67">
      <x:c r="A67" s="22"/>
      <x:c r="B67" s="29"/>
      <x:c r="C67" s="29"/>
      <x:c r="D67" s="20"/>
      <x:c r="E67" s="20"/>
      <x:c r="F67" s="23"/>
    </x:row>
    <x:row r="68">
      <x:c r="A68" s="22"/>
      <x:c r="B68" s="29"/>
      <x:c r="C68" s="29"/>
      <x:c r="D68" s="20"/>
      <x:c r="E68" s="20"/>
      <x:c r="F68" s="23"/>
    </x:row>
    <x:row r="69">
      <x:c r="A69" s="22"/>
      <x:c r="B69" s="29"/>
      <x:c r="C69" s="29"/>
      <x:c r="D69" s="20"/>
      <x:c r="E69" s="20"/>
      <x:c r="F69" s="23"/>
    </x:row>
    <x:row r="70">
      <x:c r="A70" s="22"/>
      <x:c r="B70" s="29"/>
      <x:c r="C70" s="29"/>
      <x:c r="D70" s="20"/>
      <x:c r="E70" s="20"/>
      <x:c r="F70" s="23"/>
    </x:row>
    <x:row r="71">
      <x:c r="A71" s="22"/>
      <x:c r="B71" s="29"/>
      <x:c r="C71" s="29"/>
      <x:c r="D71" s="20"/>
      <x:c r="E71" s="20"/>
      <x:c r="F71" s="23"/>
    </x:row>
    <x:row r="72">
      <x:c r="A72" s="22"/>
      <x:c r="B72" s="29"/>
      <x:c r="C72" s="29"/>
      <x:c r="D72" s="20"/>
      <x:c r="E72" s="20"/>
      <x:c r="F72" s="23"/>
    </x:row>
    <x:row r="73">
      <x:c r="A73" s="22"/>
      <x:c r="B73" s="29"/>
      <x:c r="C73" s="29"/>
      <x:c r="D73" s="20"/>
      <x:c r="E73" s="20"/>
      <x:c r="F73" s="23"/>
    </x:row>
    <x:row r="74">
      <x:c r="A74" s="22"/>
      <x:c r="B74" s="29"/>
      <x:c r="C74" s="29"/>
      <x:c r="D74" s="20"/>
      <x:c r="E74" s="20"/>
      <x:c r="F74" s="23"/>
    </x:row>
    <x:row r="75">
      <x:c r="A75" s="22"/>
      <x:c r="B75" s="29"/>
      <x:c r="C75" s="29"/>
      <x:c r="D75" s="20"/>
      <x:c r="E75" s="20"/>
      <x:c r="F75" s="23"/>
    </x:row>
    <x:row r="76">
      <x:c r="A76" s="22"/>
      <x:c r="B76" s="29"/>
      <x:c r="C76" s="29"/>
      <x:c r="D76" s="20"/>
      <x:c r="E76" s="20"/>
      <x:c r="F76" s="23"/>
    </x:row>
    <x:row r="77">
      <x:c r="A77" s="22"/>
      <x:c r="B77" s="29"/>
      <x:c r="C77" s="29"/>
      <x:c r="D77" s="20"/>
      <x:c r="E77" s="20"/>
      <x:c r="F77" s="23"/>
    </x:row>
    <x:row r="78">
      <x:c r="A78" s="22"/>
      <x:c r="B78" s="29"/>
      <x:c r="C78" s="29"/>
      <x:c r="D78" s="20"/>
      <x:c r="E78" s="20"/>
      <x:c r="F78" s="23"/>
    </x:row>
    <x:row r="79">
      <x:c r="A79" s="22"/>
      <x:c r="B79" s="29"/>
      <x:c r="C79" s="29"/>
      <x:c r="D79" s="20"/>
      <x:c r="E79" s="20"/>
      <x:c r="F79" s="23"/>
    </x:row>
    <x:row r="80">
      <x:c r="A80" s="22"/>
      <x:c r="B80" s="29"/>
      <x:c r="C80" s="29"/>
      <x:c r="D80" s="20"/>
      <x:c r="E80" s="20"/>
      <x:c r="F80" s="23"/>
    </x:row>
    <x:row r="81">
      <x:c r="A81" s="22"/>
      <x:c r="B81" s="29"/>
      <x:c r="C81" s="29"/>
      <x:c r="D81" s="20"/>
      <x:c r="E81" s="20"/>
      <x:c r="F81" s="23"/>
    </x:row>
    <x:row r="82">
      <x:c r="A82" s="22"/>
      <x:c r="B82" s="29"/>
      <x:c r="C82" s="29"/>
      <x:c r="D82" s="20"/>
      <x:c r="E82" s="20"/>
      <x:c r="F82" s="23"/>
    </x:row>
    <x:row r="83">
      <x:c r="A83" s="22"/>
      <x:c r="B83" s="29"/>
      <x:c r="C83" s="29"/>
      <x:c r="D83" s="20"/>
      <x:c r="E83" s="20"/>
      <x:c r="F83" s="23"/>
    </x:row>
    <x:row r="84">
      <x:c r="A84" s="22"/>
      <x:c r="B84" s="29"/>
      <x:c r="C84" s="29"/>
      <x:c r="D84" s="20"/>
      <x:c r="E84" s="20"/>
      <x:c r="F84" s="23"/>
    </x:row>
    <x:row r="85">
      <x:c r="A85" s="22"/>
      <x:c r="B85" s="29"/>
      <x:c r="C85" s="29"/>
      <x:c r="D85" s="20"/>
      <x:c r="E85" s="20"/>
      <x:c r="F85" s="23"/>
    </x:row>
    <x:row r="86">
      <x:c r="A86" s="22"/>
      <x:c r="B86" s="29"/>
      <x:c r="C86" s="29"/>
      <x:c r="D86" s="20"/>
      <x:c r="E86" s="20"/>
      <x:c r="F86" s="23"/>
    </x:row>
    <x:row r="87">
      <x:c r="A87" s="22"/>
      <x:c r="B87" s="29"/>
      <x:c r="C87" s="29"/>
      <x:c r="D87" s="20"/>
      <x:c r="E87" s="20"/>
      <x:c r="F87" s="23"/>
    </x:row>
    <x:row r="88">
      <x:c r="A88" s="22"/>
      <x:c r="B88" s="29"/>
      <x:c r="C88" s="29"/>
      <x:c r="D88" s="20"/>
      <x:c r="E88" s="20"/>
      <x:c r="F88" s="23"/>
    </x:row>
    <x:row r="89">
      <x:c r="A89" s="22"/>
      <x:c r="B89" s="29"/>
      <x:c r="C89" s="29"/>
      <x:c r="D89" s="20"/>
      <x:c r="E89" s="20"/>
      <x:c r="F89" s="23"/>
    </x:row>
    <x:row r="90">
      <x:c r="A90" s="22"/>
      <x:c r="B90" s="29"/>
      <x:c r="C90" s="29"/>
      <x:c r="D90" s="20"/>
      <x:c r="E90" s="20"/>
      <x:c r="F90" s="23"/>
    </x:row>
    <x:row r="91">
      <x:c r="A91" s="22"/>
      <x:c r="B91" s="29"/>
      <x:c r="C91" s="29"/>
      <x:c r="D91" s="20"/>
      <x:c r="E91" s="20"/>
      <x:c r="F91" s="23"/>
    </x:row>
    <x:row r="92">
      <x:c r="A92" s="22"/>
      <x:c r="B92" s="29"/>
      <x:c r="C92" s="29"/>
      <x:c r="D92" s="20"/>
      <x:c r="E92" s="20"/>
      <x:c r="F92" s="23"/>
    </x:row>
    <x:row r="93">
      <x:c r="A93" s="22"/>
      <x:c r="B93" s="29"/>
      <x:c r="C93" s="29"/>
      <x:c r="D93" s="20"/>
      <x:c r="E93" s="20"/>
      <x:c r="F93" s="23"/>
    </x:row>
    <x:row r="94">
      <x:c r="A94" s="22"/>
      <x:c r="B94" s="29"/>
      <x:c r="C94" s="29"/>
      <x:c r="D94" s="20"/>
      <x:c r="E94" s="20"/>
      <x:c r="F94" s="23"/>
    </x:row>
    <x:row r="95">
      <x:c r="A95" s="22"/>
      <x:c r="B95" s="29"/>
      <x:c r="C95" s="29"/>
      <x:c r="D95" s="20"/>
      <x:c r="E95" s="20"/>
      <x:c r="F95" s="23"/>
    </x:row>
    <x:row r="96">
      <x:c r="A96" s="22"/>
      <x:c r="B96" s="29"/>
      <x:c r="C96" s="29"/>
      <x:c r="D96" s="20"/>
      <x:c r="E96" s="20"/>
      <x:c r="F96" s="23"/>
    </x:row>
    <x:row r="97">
      <x:c r="A97" s="22"/>
      <x:c r="B97" s="29"/>
      <x:c r="C97" s="29"/>
      <x:c r="D97" s="20"/>
      <x:c r="E97" s="20"/>
      <x:c r="F97" s="23"/>
    </x:row>
    <x:row r="98">
      <x:c r="A98" s="22"/>
      <x:c r="B98" s="29"/>
      <x:c r="C98" s="29"/>
      <x:c r="D98" s="20"/>
      <x:c r="E98" s="20"/>
      <x:c r="F98" s="23"/>
    </x:row>
    <x:row r="99">
      <x:c r="A99" s="22"/>
      <x:c r="B99" s="29"/>
      <x:c r="C99" s="29"/>
      <x:c r="D99" s="20"/>
      <x:c r="E99" s="20"/>
      <x:c r="F99" s="23"/>
    </x:row>
    <x:row r="100">
      <x:c r="A100" s="22"/>
      <x:c r="B100" s="29"/>
      <x:c r="C100" s="29"/>
      <x:c r="D100" s="20"/>
      <x:c r="E100" s="20"/>
      <x:c r="F100" s="23"/>
    </x:row>
    <x:row r="101">
      <x:c r="A101" s="22"/>
      <x:c r="B101" s="29"/>
      <x:c r="C101" s="29"/>
      <x:c r="D101" s="20"/>
      <x:c r="E101" s="20"/>
      <x:c r="F101" s="23"/>
    </x:row>
    <x:row r="102">
      <x:c r="A102" s="22"/>
      <x:c r="B102" s="29"/>
      <x:c r="C102" s="29"/>
      <x:c r="D102" s="20"/>
      <x:c r="E102" s="20"/>
      <x:c r="F102" s="23"/>
    </x:row>
    <x:row r="103">
      <x:c r="A103" s="22"/>
      <x:c r="B103" s="29"/>
      <x:c r="C103" s="29"/>
      <x:c r="D103" s="20"/>
      <x:c r="E103" s="20"/>
      <x:c r="F103" s="23"/>
    </x:row>
    <x:row r="104">
      <x:c r="A104" s="22"/>
      <x:c r="B104" s="29"/>
      <x:c r="C104" s="29"/>
      <x:c r="D104" s="20"/>
      <x:c r="E104" s="20"/>
      <x:c r="F104" s="23"/>
    </x:row>
    <x:row r="105">
      <x:c r="A105" s="22"/>
      <x:c r="B105" s="29"/>
      <x:c r="C105" s="29"/>
      <x:c r="D105" s="20"/>
      <x:c r="E105" s="20"/>
      <x:c r="F105" s="23"/>
    </x:row>
    <x:row r="106">
      <x:c r="A106" s="22"/>
      <x:c r="B106" s="29"/>
      <x:c r="C106" s="29"/>
      <x:c r="D106" s="20"/>
      <x:c r="E106" s="20"/>
      <x:c r="F106" s="23"/>
    </x:row>
    <x:row r="107">
      <x:c r="A107" s="22"/>
      <x:c r="B107" s="29"/>
      <x:c r="C107" s="29"/>
      <x:c r="D107" s="20"/>
      <x:c r="E107" s="20"/>
      <x:c r="F107" s="23"/>
    </x:row>
    <x:row r="108">
      <x:c r="A108" s="22"/>
      <x:c r="B108" s="29"/>
      <x:c r="C108" s="29"/>
      <x:c r="D108" s="20"/>
      <x:c r="E108" s="20"/>
      <x:c r="F108" s="23"/>
    </x:row>
    <x:row r="109">
      <x:c r="A109" s="22"/>
      <x:c r="B109" s="29"/>
      <x:c r="C109" s="29"/>
      <x:c r="D109" s="20"/>
      <x:c r="E109" s="20"/>
      <x:c r="F109" s="23"/>
    </x:row>
    <x:row r="110">
      <x:c r="A110" s="22"/>
      <x:c r="B110" s="29"/>
      <x:c r="C110" s="29"/>
      <x:c r="D110" s="20"/>
      <x:c r="E110" s="20"/>
      <x:c r="F110" s="23"/>
    </x:row>
    <x:row r="111">
      <x:c r="A111" s="22"/>
      <x:c r="B111" s="29"/>
      <x:c r="C111" s="29"/>
      <x:c r="D111" s="20"/>
      <x:c r="E111" s="20"/>
      <x:c r="F111" s="23"/>
    </x:row>
    <x:row r="112">
      <x:c r="A112" s="22"/>
      <x:c r="B112" s="29"/>
      <x:c r="C112" s="29"/>
      <x:c r="D112" s="20"/>
      <x:c r="E112" s="20"/>
      <x:c r="F112" s="23"/>
    </x:row>
    <x:row r="113">
      <x:c r="A113" s="22"/>
      <x:c r="B113" s="29"/>
      <x:c r="C113" s="29"/>
      <x:c r="D113" s="20"/>
      <x:c r="E113" s="20"/>
      <x:c r="F113" s="23"/>
    </x:row>
    <x:row r="114">
      <x:c r="A114" s="22"/>
      <x:c r="B114" s="29"/>
      <x:c r="C114" s="29"/>
      <x:c r="D114" s="20"/>
      <x:c r="E114" s="20"/>
      <x:c r="F114" s="23"/>
    </x:row>
    <x:row r="115">
      <x:c r="A115" s="22"/>
      <x:c r="B115" s="29"/>
      <x:c r="C115" s="29"/>
      <x:c r="D115" s="20"/>
      <x:c r="E115" s="20"/>
      <x:c r="F115" s="23"/>
    </x:row>
    <x:row r="116">
      <x:c r="A116" s="22"/>
      <x:c r="B116" s="29"/>
      <x:c r="C116" s="29"/>
      <x:c r="D116" s="20"/>
      <x:c r="E116" s="20"/>
      <x:c r="F116" s="23"/>
    </x:row>
    <x:row r="117">
      <x:c r="A117" s="22"/>
      <x:c r="B117" s="29"/>
      <x:c r="C117" s="29"/>
      <x:c r="D117" s="20"/>
      <x:c r="E117" s="20"/>
      <x:c r="F117" s="23"/>
    </x:row>
    <x:row r="118">
      <x:c r="A118" s="22"/>
      <x:c r="B118" s="29"/>
      <x:c r="C118" s="29"/>
      <x:c r="D118" s="20"/>
      <x:c r="E118" s="20"/>
      <x:c r="F118" s="23"/>
    </x:row>
    <x:row r="119">
      <x:c r="A119" s="22"/>
      <x:c r="B119" s="29"/>
      <x:c r="C119" s="29"/>
      <x:c r="D119" s="20"/>
      <x:c r="E119" s="20"/>
      <x:c r="F119" s="23"/>
    </x:row>
    <x:row r="120">
      <x:c r="A120" s="22"/>
      <x:c r="B120" s="29"/>
      <x:c r="C120" s="29"/>
      <x:c r="D120" s="20"/>
      <x:c r="E120" s="20"/>
      <x:c r="F120" s="23"/>
    </x:row>
    <x:row r="121">
      <x:c r="A121" s="22"/>
      <x:c r="B121" s="29"/>
      <x:c r="C121" s="29"/>
      <x:c r="D121" s="20"/>
      <x:c r="E121" s="20"/>
      <x:c r="F121" s="23"/>
    </x:row>
    <x:row r="122">
      <x:c r="A122" s="22"/>
      <x:c r="B122" s="29"/>
      <x:c r="C122" s="29"/>
      <x:c r="D122" s="20"/>
      <x:c r="E122" s="20"/>
      <x:c r="F122" s="23"/>
    </x:row>
    <x:row r="123">
      <x:c r="A123" s="22"/>
      <x:c r="B123" s="29"/>
      <x:c r="C123" s="29"/>
      <x:c r="D123" s="20"/>
      <x:c r="E123" s="20"/>
      <x:c r="F123" s="23"/>
    </x:row>
    <x:row r="124">
      <x:c r="A124" s="22"/>
      <x:c r="B124" s="29"/>
      <x:c r="C124" s="29"/>
      <x:c r="D124" s="20"/>
      <x:c r="E124" s="20"/>
      <x:c r="F124" s="23"/>
    </x:row>
    <x:row r="125">
      <x:c r="A125" s="22"/>
      <x:c r="B125" s="29"/>
      <x:c r="C125" s="29"/>
      <x:c r="D125" s="20"/>
      <x:c r="E125" s="20"/>
      <x:c r="F125" s="23"/>
    </x:row>
    <x:row r="126">
      <x:c r="A126" s="22"/>
      <x:c r="B126" s="29"/>
      <x:c r="C126" s="29"/>
      <x:c r="D126" s="20"/>
      <x:c r="E126" s="20"/>
      <x:c r="F126" s="23"/>
    </x:row>
    <x:row r="127">
      <x:c r="A127" s="22"/>
      <x:c r="B127" s="29"/>
      <x:c r="C127" s="29"/>
      <x:c r="D127" s="20"/>
      <x:c r="E127" s="20"/>
      <x:c r="F127" s="23"/>
    </x:row>
    <x:row r="128">
      <x:c r="A128" s="22"/>
      <x:c r="B128" s="29"/>
      <x:c r="C128" s="29"/>
      <x:c r="D128" s="20"/>
      <x:c r="E128" s="20"/>
      <x:c r="F128" s="23"/>
    </x:row>
    <x:row r="129">
      <x:c r="A129" s="22"/>
      <x:c r="B129" s="29"/>
      <x:c r="C129" s="29"/>
      <x:c r="D129" s="20"/>
      <x:c r="E129" s="20"/>
      <x:c r="F129" s="23"/>
    </x:row>
    <x:row r="130">
      <x:c r="A130" s="22"/>
      <x:c r="B130" s="29"/>
      <x:c r="C130" s="29"/>
      <x:c r="D130" s="20"/>
      <x:c r="E130" s="20"/>
      <x:c r="F130" s="23"/>
    </x:row>
    <x:row r="131">
      <x:c r="A131" s="22"/>
      <x:c r="B131" s="29"/>
      <x:c r="C131" s="29"/>
      <x:c r="D131" s="20"/>
      <x:c r="E131" s="20"/>
      <x:c r="F131" s="23"/>
    </x:row>
    <x:row r="132">
      <x:c r="A132" s="22"/>
      <x:c r="B132" s="29"/>
      <x:c r="C132" s="29"/>
      <x:c r="D132" s="20"/>
      <x:c r="E132" s="20"/>
      <x:c r="F132" s="23"/>
    </x:row>
    <x:row r="133">
      <x:c r="A133" s="22"/>
      <x:c r="B133" s="29"/>
      <x:c r="C133" s="29"/>
      <x:c r="D133" s="20"/>
      <x:c r="E133" s="20"/>
      <x:c r="F133" s="23"/>
    </x:row>
    <x:row r="134">
      <x:c r="A134" s="22"/>
      <x:c r="B134" s="29"/>
      <x:c r="C134" s="29"/>
      <x:c r="D134" s="20"/>
      <x:c r="E134" s="20"/>
      <x:c r="F134" s="23"/>
    </x:row>
    <x:row r="135">
      <x:c r="A135" s="22"/>
      <x:c r="B135" s="29"/>
      <x:c r="C135" s="29"/>
      <x:c r="D135" s="20"/>
      <x:c r="E135" s="20"/>
      <x:c r="F135" s="23"/>
    </x:row>
    <x:row r="136">
      <x:c r="A136" s="22"/>
      <x:c r="B136" s="29"/>
      <x:c r="C136" s="29"/>
      <x:c r="D136" s="20"/>
      <x:c r="E136" s="20"/>
      <x:c r="F136" s="23"/>
    </x:row>
    <x:row r="137">
      <x:c r="A137" s="22"/>
      <x:c r="B137" s="29"/>
      <x:c r="C137" s="29"/>
      <x:c r="D137" s="20"/>
      <x:c r="E137" s="20"/>
      <x:c r="F137" s="23"/>
    </x:row>
    <x:row r="138">
      <x:c r="A138" s="22"/>
      <x:c r="B138" s="29"/>
      <x:c r="C138" s="29"/>
      <x:c r="D138" s="20"/>
      <x:c r="E138" s="20"/>
      <x:c r="F138" s="23"/>
    </x:row>
    <x:row r="139">
      <x:c r="A139" s="22"/>
      <x:c r="B139" s="29"/>
      <x:c r="C139" s="29"/>
      <x:c r="D139" s="20"/>
      <x:c r="E139" s="20"/>
      <x:c r="F139" s="23"/>
    </x:row>
    <x:row r="140">
      <x:c r="A140" s="22"/>
      <x:c r="B140" s="29"/>
      <x:c r="C140" s="29"/>
      <x:c r="D140" s="20"/>
      <x:c r="E140" s="20"/>
      <x:c r="F140" s="23"/>
    </x:row>
    <x:row r="141">
      <x:c r="A141" s="22"/>
      <x:c r="B141" s="29"/>
      <x:c r="C141" s="29"/>
      <x:c r="D141" s="20"/>
      <x:c r="E141" s="20"/>
      <x:c r="F141" s="23"/>
    </x:row>
  </x:sheetData>
  <x:mergeCells>
    <x:mergeCell ref="B140:C140"/>
    <x:mergeCell ref="B141:C141"/>
    <x:mergeCell ref="B135:C135"/>
    <x:mergeCell ref="B136:C136"/>
    <x:mergeCell ref="B137:C137"/>
    <x:mergeCell ref="B138:C138"/>
    <x:mergeCell ref="B139:C139"/>
    <x:mergeCell ref="B130:C130"/>
    <x:mergeCell ref="B131:C131"/>
    <x:mergeCell ref="B132:C132"/>
    <x:mergeCell ref="B133:C133"/>
    <x:mergeCell ref="B134:C134"/>
    <x:mergeCell ref="B125:C125"/>
    <x:mergeCell ref="B126:C126"/>
    <x:mergeCell ref="B127:C127"/>
    <x:mergeCell ref="B128:C128"/>
    <x:mergeCell ref="B129:C129"/>
    <x:mergeCell ref="B120:C120"/>
    <x:mergeCell ref="B121:C121"/>
    <x:mergeCell ref="B122:C122"/>
    <x:mergeCell ref="B123:C123"/>
    <x:mergeCell ref="B124:C124"/>
    <x:mergeCell ref="B115:C115"/>
    <x:mergeCell ref="B116:C116"/>
    <x:mergeCell ref="B117:C117"/>
    <x:mergeCell ref="B118:C118"/>
    <x:mergeCell ref="B119:C119"/>
    <x:mergeCell ref="B110:C110"/>
    <x:mergeCell ref="B111:C111"/>
    <x:mergeCell ref="B112:C112"/>
    <x:mergeCell ref="B113:C113"/>
    <x:mergeCell ref="B114:C114"/>
    <x:mergeCell ref="B105:C105"/>
    <x:mergeCell ref="B106:C106"/>
    <x:mergeCell ref="B107:C107"/>
    <x:mergeCell ref="B108:C108"/>
    <x:mergeCell ref="B109:C109"/>
    <x:mergeCell ref="B100:C100"/>
    <x:mergeCell ref="B101:C101"/>
    <x:mergeCell ref="B102:C102"/>
    <x:mergeCell ref="B103:C103"/>
    <x:mergeCell ref="B104:C104"/>
    <x:mergeCell ref="B95:C95"/>
    <x:mergeCell ref="B96:C96"/>
    <x:mergeCell ref="B97:C97"/>
    <x:mergeCell ref="B98:C98"/>
    <x:mergeCell ref="B99:C99"/>
    <x:mergeCell ref="B90:C90"/>
    <x:mergeCell ref="B91:C91"/>
    <x:mergeCell ref="B92:C92"/>
    <x:mergeCell ref="B93:C93"/>
    <x:mergeCell ref="B94:C94"/>
    <x:mergeCell ref="B85:C85"/>
    <x:mergeCell ref="B86:C86"/>
    <x:mergeCell ref="B87:C87"/>
    <x:mergeCell ref="B88:C88"/>
    <x:mergeCell ref="B89:C89"/>
    <x:mergeCell ref="B80:C80"/>
    <x:mergeCell ref="B81:C81"/>
    <x:mergeCell ref="B82:C82"/>
    <x:mergeCell ref="B83:C83"/>
    <x:mergeCell ref="B84:C84"/>
    <x:mergeCell ref="B75:C75"/>
    <x:mergeCell ref="B76:C76"/>
    <x:mergeCell ref="B77:C77"/>
    <x:mergeCell ref="B78:C78"/>
    <x:mergeCell ref="B79:C79"/>
    <x:mergeCell ref="B70:C70"/>
    <x:mergeCell ref="B71:C71"/>
    <x:mergeCell ref="B72:C72"/>
    <x:mergeCell ref="B73:C73"/>
    <x:mergeCell ref="B74:C74"/>
    <x:mergeCell ref="B65:C65"/>
    <x:mergeCell ref="B66:C66"/>
    <x:mergeCell ref="B67:C67"/>
    <x:mergeCell ref="B68:C68"/>
    <x:mergeCell ref="B69:C69"/>
    <x:mergeCell ref="B60:C60"/>
    <x:mergeCell ref="B61:C61"/>
    <x:mergeCell ref="B62:C62"/>
    <x:mergeCell ref="B63:C63"/>
    <x:mergeCell ref="B64:C64"/>
    <x:mergeCell ref="B55:C55"/>
    <x:mergeCell ref="B56:C56"/>
    <x:mergeCell ref="B57:C57"/>
    <x:mergeCell ref="B58:C58"/>
    <x:mergeCell ref="B59:C59"/>
    <x:mergeCell ref="B50:C50"/>
    <x:mergeCell ref="B51:C51"/>
    <x:mergeCell ref="B52:C52"/>
    <x:mergeCell ref="B53:C53"/>
    <x:mergeCell ref="B54:C54"/>
    <x:mergeCell ref="B45:C45"/>
    <x:mergeCell ref="B46:C46"/>
    <x:mergeCell ref="B47:C47"/>
    <x:mergeCell ref="B48:C48"/>
    <x:mergeCell ref="B49:C49"/>
    <x:mergeCell ref="B40:C40"/>
    <x:mergeCell ref="B41:C41"/>
    <x:mergeCell ref="B42:C42"/>
    <x:mergeCell ref="B43:C43"/>
    <x:mergeCell ref="B44:C44"/>
    <x:mergeCell ref="B35:C35"/>
    <x:mergeCell ref="B36:C36"/>
    <x:mergeCell ref="B37:C37"/>
    <x:mergeCell ref="B38:C38"/>
    <x:mergeCell ref="B39:C39"/>
    <x:mergeCell ref="B34:C34"/>
    <x:mergeCell ref="B33:C33"/>
    <x:mergeCell ref="A11:B11"/>
    <x:mergeCell ref="B31:C31"/>
    <x:mergeCell ref="B32:C3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.7109375" customWidth="1"/>
    <x:col min="2" max="2" width="12.140625" customWidth="1"/>
    <x:col min="3" max="3" width="14" customWidth="1"/>
    <x:col min="4" max="5" width="15.85546875" customWidth="1"/>
    <x:col min="6" max="6" width="10.42578125" customWidth="1"/>
  </x:cols>
  <x:sheetData>
    <x:row r="1">
      <x:c r="A1" s="2" t="s">
        <x:v>0</x:v>
      </x:c>
      <x:c r="B1" s="2" t="s">
        <x:v>1</x:v>
      </x:c>
      <x:c r="C1" s="1" t="s">
        <x:v>2</x:v>
      </x:c>
      <x:c r="D1" s="1" t="s">
        <x:v>3</x:v>
      </x:c>
    </x:row>
    <x:row r="2">
      <x:c r="A2" t="s">
        <x:v>5</x:v>
      </x:c>
      <x:c r="B2" s="4">
        <x:v>7.59</x:v>
      </x:c>
      <x:c r="C2" s="3">
        <x:v>6.8181818181818103</x:v>
      </x:c>
      <x:c r="D2" s="7" t="n">
        <x:f>B2*C2/100</x:f>
        <x:v>0.5174999999999994</x:v>
      </x:c>
    </x:row>
    <x:row r="3">
      <x:c r="A3" t="s">
        <x:v>4</x:v>
      </x:c>
      <x:c r="B3" s="4">
        <x:v>6.63</x:v>
      </x:c>
      <x:c r="C3" s="3">
        <x:v>0.84033613445378097</x:v>
      </x:c>
      <x:c r="D3" s="7" t="n">
        <x:f t="shared" ref="D3:D49" si="0">B3*C3/100</x:f>
        <x:v>0.055714285714285675</x:v>
      </x:c>
    </x:row>
    <x:row r="4">
      <x:c r="A4" t="s">
        <x:v>8</x:v>
      </x:c>
      <x:c r="B4" s="4">
        <x:v>6.92</x:v>
      </x:c>
      <x:c r="C4" s="3">
        <x:v>-0.222345747637576</x:v>
      </x:c>
      <x:c r="D4" s="7">
        <x:f t="shared" si="0"/>
        <x:v>-1.5386325736520259E-2</x:v>
      </x:c>
    </x:row>
    <x:row r="5">
      <x:c r="A5" t="s">
        <x:v>7</x:v>
      </x:c>
      <x:c r="B5" s="4">
        <x:v>5.74</x:v>
      </x:c>
      <x:c r="C5" s="3">
        <x:v>0.26437541308658202</x:v>
      </x:c>
      <x:c r="D5" s="7">
        <x:f t="shared" si="0"/>
        <x:v>1.5175148711169808E-2</x:v>
      </x:c>
    </x:row>
    <x:row r="6">
      <x:c r="A6" t="s">
        <x:v>51</x:v>
      </x:c>
      <x:c r="B6" s="4">
        <x:v>4.8600000000000003</x:v>
      </x:c>
      <x:c r="C6" s="3">
        <x:v>0.62041737168640698</x:v>
      </x:c>
      <x:c r="D6" s="7">
        <x:f t="shared" si="0"/>
        <x:v>3.015228426395938E-2</x:v>
      </x:c>
    </x:row>
    <x:row r="7">
      <x:c r="A7" t="s">
        <x:v>12</x:v>
      </x:c>
      <x:c r="B7" s="4">
        <x:v>7.18</x:v>
      </x:c>
      <x:c r="C7" s="3">
        <x:v>1.6239316239316199</x:v>
      </x:c>
      <x:c r="D7" s="7">
        <x:f t="shared" si="0"/>
        <x:v>0.11659829059829031</x:v>
      </x:c>
    </x:row>
    <x:row r="8">
      <x:c r="A8" t="s">
        <x:v>17</x:v>
      </x:c>
      <x:c r="B8" s="25">
        <x:v>3.83</x:v>
      </x:c>
      <x:c r="C8" s="26">
        <x:v>2.2532188841201699</x:v>
      </x:c>
      <x:c r="D8" s="7">
        <x:f t="shared" si="0"/>
        <x:v>8.62982832618025E-2</x:v>
      </x:c>
    </x:row>
    <x:row r="9">
      <x:c r="A9" t="s">
        <x:v>10</x:v>
      </x:c>
      <x:c r="B9" s="4">
        <x:v>5.82</x:v>
      </x:c>
      <x:c r="C9" s="3">
        <x:v>3.4251175285426401</x:v>
      </x:c>
      <x:c r="D9" s="7">
        <x:f t="shared" si="0"/>
        <x:v>0.19934184016118167</x:v>
      </x:c>
    </x:row>
    <x:row r="10">
      <x:c r="A10" t="s">
        <x:v>6</x:v>
      </x:c>
      <x:c r="B10" s="4">
        <x:v>2.79</x:v>
      </x:c>
      <x:c r="C10" s="3">
        <x:v>-9.9610220874837498</x:v>
      </x:c>
      <x:c r="D10" s="7">
        <x:f t="shared" si="0"/>
        <x:v>-0.27791251624079666</x:v>
      </x:c>
    </x:row>
    <x:row r="11">
      <x:c r="A11" t="s">
        <x:v>18</x:v>
      </x:c>
      <x:c r="B11" s="4">
        <x:v>3.88</x:v>
      </x:c>
      <x:c r="C11" s="3">
        <x:v>0</x:v>
      </x:c>
      <x:c r="D11" s="7">
        <x:f t="shared" si="0"/>
        <x:v>0</x:v>
      </x:c>
    </x:row>
    <x:row r="12">
      <x:c r="A12" t="s">
        <x:v>9</x:v>
      </x:c>
      <x:c r="B12" s="4">
        <x:v>4.71</x:v>
      </x:c>
      <x:c r="C12" s="27">
        <x:v>1.5384615384615301</x:v>
      </x:c>
      <x:c r="D12" s="7">
        <x:f t="shared" si="0"/>
        <x:v>7.2461538461538078E-2</x:v>
      </x:c>
    </x:row>
    <x:row r="13">
      <x:c r="A13" t="s">
        <x:v>11</x:v>
      </x:c>
      <x:c r="B13" s="25">
        <x:v>1.88</x:v>
      </x:c>
      <x:c r="C13" s="3">
        <x:v>5.92417061611374E-2</x:v>
      </x:c>
      <x:c r="D13" s="7">
        <x:f t="shared" si="0"/>
        <x:v>1.113744075829383E-3</x:v>
      </x:c>
    </x:row>
    <x:row r="14">
      <x:c r="A14" t="s">
        <x:v>52</x:v>
      </x:c>
      <x:c r="B14" s="25">
        <x:v>1.78</x:v>
      </x:c>
      <x:c r="C14" s="3">
        <x:v>4.1080472706809203</x:v>
      </x:c>
      <x:c r="D14" s="7">
        <x:f t="shared" si="0"/>
        <x:v>7.3123241418120377E-2</x:v>
      </x:c>
    </x:row>
    <x:row r="15">
      <x:c r="A15" t="s">
        <x:v>53</x:v>
      </x:c>
      <x:c r="B15" s="25">
        <x:v>1.77</x:v>
      </x:c>
      <x:c r="C15" s="26">
        <x:v>-0.38797284190106601</x:v>
      </x:c>
      <x:c r="D15" s="7">
        <x:f t="shared" si="0"/>
        <x:v>-6.8671193016488687E-3</x:v>
      </x:c>
    </x:row>
    <x:row r="16">
      <x:c r="A16" t="s">
        <x:v>54</x:v>
      </x:c>
      <x:c r="B16" s="4">
        <x:v>1.38</x:v>
      </x:c>
      <x:c r="C16" s="3">
        <x:v>-2.8571428571428501</x:v>
      </x:c>
      <x:c r="D16" s="7">
        <x:f t="shared" si="0"/>
        <x:v>-3.9428571428571327E-2</x:v>
      </x:c>
    </x:row>
    <x:row r="17">
      <x:c r="A17" t="s">
        <x:v>55</x:v>
      </x:c>
      <x:c r="B17" s="4">
        <x:v>1.61</x:v>
      </x:c>
      <x:c r="C17" s="3">
        <x:v>0.15715034049240401</x:v>
      </x:c>
      <x:c r="D17" s="7">
        <x:f t="shared" si="0"/>
        <x:v>2.5301204819277046E-3</x:v>
      </x:c>
    </x:row>
    <x:row r="18">
      <x:c r="A18" t="s">
        <x:v>56</x:v>
      </x:c>
      <x:c r="B18" s="4">
        <x:v>1.58</x:v>
      </x:c>
      <x:c r="C18" s="3">
        <x:v>0.66555740432612298</x:v>
      </x:c>
      <x:c r="D18" s="7">
        <x:f t="shared" si="0"/>
        <x:v>1.0515806988352742E-2</x:v>
      </x:c>
    </x:row>
    <x:row r="19">
      <x:c r="A19" t="s">
        <x:v>57</x:v>
      </x:c>
      <x:c r="B19" s="4">
        <x:v>1.54</x:v>
      </x:c>
      <x:c r="C19" s="3">
        <x:v>0.33422459893048101</x:v>
      </x:c>
      <x:c r="D19" s="7">
        <x:f t="shared" si="0"/>
        <x:v>5.1470588235294082E-3</x:v>
      </x:c>
    </x:row>
    <x:row r="20">
      <x:c r="A20" t="s">
        <x:v>58</x:v>
      </x:c>
      <x:c r="B20" s="4">
        <x:v>1.1000000000000001</x:v>
      </x:c>
      <x:c r="C20" s="3">
        <x:v>-0.47518479408658898</x:v>
      </x:c>
      <x:c r="D20" s="7">
        <x:f t="shared" si="0"/>
        <x:v>-5.2270327349524795E-3</x:v>
      </x:c>
    </x:row>
    <x:row r="21">
      <x:c r="A21" t="s">
        <x:v>59</x:v>
      </x:c>
      <x:c r="B21" s="4">
        <x:v>1.06</x:v>
      </x:c>
      <x:c r="C21" s="3">
        <x:v>-0.79575596816976102</x:v>
      </x:c>
      <x:c r="D21" s="7">
        <x:f t="shared" si="0"/>
        <x:v>-8.4350132625994664E-3</x:v>
      </x:c>
    </x:row>
    <x:row r="22">
      <x:c r="A22" t="s">
        <x:v>60</x:v>
      </x:c>
      <x:c r="B22" s="4">
        <x:v>0.99</x:v>
      </x:c>
      <x:c r="C22" s="3">
        <x:v>-0.59414990859232097</x:v>
      </x:c>
      <x:c r="D22" s="7">
        <x:f t="shared" si="0"/>
        <x:v>-5.8820840950639776E-3</x:v>
      </x:c>
    </x:row>
    <x:row r="23">
      <x:c r="A23" t="s">
        <x:v>61</x:v>
      </x:c>
      <x:c r="B23" s="25">
        <x:v>0.98</x:v>
      </x:c>
      <x:c r="C23" s="26">
        <x:v>-0.59235325794291804</x:v>
      </x:c>
      <x:c r="D23" s="7">
        <x:f t="shared" si="0"/>
        <x:v>-5.8050619278405971E-3</x:v>
      </x:c>
    </x:row>
    <x:row r="24">
      <x:c r="A24" t="s">
        <x:v>62</x:v>
      </x:c>
      <x:c r="B24" s="25">
        <x:v>0.82</x:v>
      </x:c>
      <x:c r="C24" s="26">
        <x:v>1.2734990903577901</x:v>
      </x:c>
      <x:c r="D24" s="7">
        <x:f t="shared" si="0"/>
        <x:v>1.0442692540933877E-2</x:v>
      </x:c>
    </x:row>
    <x:row r="25">
      <x:c r="A25" t="s">
        <x:v>63</x:v>
      </x:c>
      <x:c r="B25" s="25">
        <x:v>0.88</x:v>
      </x:c>
      <x:c r="C25" s="26">
        <x:v>-0.87370929308975298</x:v>
      </x:c>
      <x:c r="D25" s="7">
        <x:f t="shared" si="0"/>
        <x:v>-7.6886417791898268E-3</x:v>
      </x:c>
    </x:row>
    <x:row r="26">
      <x:c r="A26" t="s">
        <x:v>64</x:v>
      </x:c>
      <x:c r="B26" s="25">
        <x:v>0.72</x:v>
      </x:c>
      <x:c r="C26" s="26">
        <x:v>-1.0899182561307901</x:v>
      </x:c>
      <x:c r="D26" s="7">
        <x:f t="shared" si="0"/>
        <x:v>-7.847411444141689E-3</x:v>
      </x:c>
    </x:row>
    <x:row r="27">
      <x:c r="A27" t="s">
        <x:v>65</x:v>
      </x:c>
      <x:c r="B27" s="25">
        <x:v>0.8</x:v>
      </x:c>
      <x:c r="C27" s="26">
        <x:v>-0.13869625520110901</x:v>
      </x:c>
      <x:c r="D27" s="7">
        <x:f t="shared" si="0"/>
        <x:v>-1.1095700416088722E-3</x:v>
      </x:c>
    </x:row>
    <x:row r="28">
      <x:c r="A28" t="s">
        <x:v>66</x:v>
      </x:c>
      <x:c r="B28" s="25">
        <x:v>0.75</x:v>
      </x:c>
      <x:c r="C28" s="26">
        <x:v>0.347423277359583</x:v>
      </x:c>
      <x:c r="D28" s="7">
        <x:f t="shared" si="0"/>
        <x:v>2.6056745801968728E-3</x:v>
      </x:c>
    </x:row>
    <x:row r="29">
      <x:c r="A29" t="s">
        <x:v>67</x:v>
      </x:c>
      <x:c r="B29" s="25">
        <x:v>0.56000000000000005</x:v>
      </x:c>
      <x:c r="C29" s="26">
        <x:v>-1.8973214285714199</x:v>
      </x:c>
      <x:c r="D29" s="7">
        <x:f t="shared" si="0"/>
        <x:v>-1.0624999999999954E-2</x:v>
      </x:c>
    </x:row>
    <x:row r="30">
      <x:c r="A30" t="s">
        <x:v>68</x:v>
      </x:c>
      <x:c r="B30" s="25">
        <x:v>0.55000000000000004</x:v>
      </x:c>
      <x:c r="C30" s="26">
        <x:v>3.35144927536231</x:v>
      </x:c>
      <x:c r="D30" s="7">
        <x:f t="shared" si="0"/>
        <x:v>1.8432971014492709E-2</x:v>
      </x:c>
    </x:row>
    <x:row r="31">
      <x:c r="A31" t="s">
        <x:v>69</x:v>
      </x:c>
      <x:c r="B31" s="25">
        <x:v>0.52</x:v>
      </x:c>
      <x:c r="C31" s="26">
        <x:v>-0.67692307692307696</x:v>
      </x:c>
      <x:c r="D31" s="7">
        <x:f t="shared" si="0"/>
        <x:v>-3.5200000000000006E-3</x:v>
      </x:c>
    </x:row>
    <x:row r="32">
      <x:c r="A32" t="s">
        <x:v>70</x:v>
      </x:c>
      <x:c r="B32" s="25">
        <x:v>0.5</x:v>
      </x:c>
      <x:c r="C32" s="26">
        <x:v>0.75987841945288703</x:v>
      </x:c>
      <x:c r="D32" s="7">
        <x:f t="shared" si="0"/>
        <x:v>3.7993920972644352E-3</x:v>
      </x:c>
    </x:row>
    <x:row r="33">
      <x:c r="A33" t="s">
        <x:v>71</x:v>
      </x:c>
      <x:c r="B33" s="25">
        <x:v>0.48</x:v>
      </x:c>
      <x:c r="C33" s="26">
        <x:v>-5.1442307692307701</x:v>
      </x:c>
      <x:c r="D33" s="7">
        <x:f t="shared" si="0"/>
        <x:v>-2.4692307692307694E-2</x:v>
      </x:c>
    </x:row>
    <x:row r="34">
      <x:c r="A34" t="s">
        <x:v>72</x:v>
      </x:c>
      <x:c r="B34" s="25">
        <x:v>0.47</x:v>
      </x:c>
      <x:c r="C34" s="26">
        <x:v>-1.68141592920353</x:v>
      </x:c>
      <x:c r="D34" s="7">
        <x:f t="shared" si="0"/>
        <x:v>-7.9026548672565915E-3</x:v>
      </x:c>
    </x:row>
    <x:row r="35">
      <x:c r="A35" t="s">
        <x:v>73</x:v>
      </x:c>
      <x:c r="B35" s="25">
        <x:v>0.46</x:v>
      </x:c>
      <x:c r="C35" s="26">
        <x:v>-3.3187226048841501</x:v>
      </x:c>
      <x:c r="D35" s="7">
        <x:f t="shared" si="0"/>
        <x:v>-1.526612398246709E-2</x:v>
      </x:c>
    </x:row>
    <x:row r="36">
      <x:c r="A36" t="s">
        <x:v>74</x:v>
      </x:c>
      <x:c r="B36" s="25">
        <x:v>0.37</x:v>
      </x:c>
      <x:c r="C36" s="26">
        <x:v>1.82692307692307</x:v>
      </x:c>
      <x:c r="D36" s="7">
        <x:f t="shared" si="0"/>
        <x:v>6.7596153846153587E-3</x:v>
      </x:c>
    </x:row>
    <x:row r="37">
      <x:c r="A37" t="s">
        <x:v>75</x:v>
      </x:c>
      <x:c r="B37" s="25">
        <x:v>0.45</x:v>
      </x:c>
      <x:c r="C37" s="26">
        <x:v>-1.0918432883750799</x:v>
      </x:c>
      <x:c r="D37" s="7">
        <x:f t="shared" si="0"/>
        <x:v>-4.9132947976878597E-3</x:v>
      </x:c>
    </x:row>
    <x:row r="38">
      <x:c r="A38" t="s">
        <x:v>76</x:v>
      </x:c>
      <x:c r="B38" s="25">
        <x:v>0.4</x:v>
      </x:c>
      <x:c r="C38" s="26">
        <x:v>-1.87265917602996</x:v>
      </x:c>
      <x:c r="D38" s="7">
        <x:f t="shared" si="0"/>
        <x:v>-7.4906367041198407E-3</x:v>
      </x:c>
    </x:row>
    <x:row r="39">
      <x:c r="A39" t="s">
        <x:v>15</x:v>
      </x:c>
      <x:c r="B39" s="25">
        <x:v>0.37</x:v>
      </x:c>
      <x:c r="C39" s="26">
        <x:v>5.5447470817120603</x:v>
      </x:c>
      <x:c r="D39" s="7">
        <x:f t="shared" si="0"/>
        <x:v>2.0515564202334625E-2</x:v>
      </x:c>
    </x:row>
    <x:row r="40">
      <x:c r="A40" t="s">
        <x:v>77</x:v>
      </x:c>
      <x:c r="B40" s="25">
        <x:v>0.39</x:v>
      </x:c>
      <x:c r="C40" s="26">
        <x:v>1.0994764397905701</x:v>
      </x:c>
      <x:c r="D40" s="7">
        <x:f t="shared" si="0"/>
        <x:v>4.2879581151832238E-3</x:v>
      </x:c>
    </x:row>
    <x:row r="41">
      <x:c r="A41" t="s">
        <x:v>78</x:v>
      </x:c>
      <x:c r="B41" s="25">
        <x:v>0.34</x:v>
      </x:c>
      <x:c r="C41" s="26">
        <x:v>1.0006253908692899</x:v>
      </x:c>
      <x:c r="D41" s="7">
        <x:f t="shared" si="0"/>
        <x:v>3.402126328955586E-3</x:v>
      </x:c>
    </x:row>
    <x:row r="42">
      <x:c r="A42" t="s">
        <x:v>79</x:v>
      </x:c>
      <x:c r="B42" s="25">
        <x:v>0.3</x:v>
      </x:c>
      <x:c r="C42" s="26">
        <x:v>1.86335403726708</x:v>
      </x:c>
      <x:c r="D42" s="7">
        <x:f t="shared" si="0"/>
        <x:v>5.5900621118012391E-3</x:v>
      </x:c>
    </x:row>
    <x:row r="43">
      <x:c r="A43" t="s">
        <x:v>80</x:v>
      </x:c>
      <x:c r="B43" s="25">
        <x:v>0.25</x:v>
      </x:c>
      <x:c r="C43" s="26">
        <x:v>2.8667790893760499</x:v>
      </x:c>
      <x:c r="D43" s="7">
        <x:f t="shared" si="0"/>
        <x:v>7.1669477234401245E-3</x:v>
      </x:c>
    </x:row>
    <x:row r="44">
      <x:c r="A44" t="s">
        <x:v>14</x:v>
      </x:c>
      <x:c r="B44" s="25">
        <x:v>0.1</x:v>
      </x:c>
      <x:c r="C44" s="26">
        <x:v>-9.9529780564263302</x:v>
      </x:c>
      <x:c r="D44" s="7">
        <x:f t="shared" si="0"/>
        <x:v>-9.9529780564263301E-3</x:v>
      </x:c>
    </x:row>
    <x:row r="45">
      <x:c r="A45" t="s">
        <x:v>81</x:v>
      </x:c>
      <x:c r="B45" s="25">
        <x:v>0.22</x:v>
      </x:c>
      <x:c r="C45" s="26">
        <x:v>0</x:v>
      </x:c>
      <x:c r="D45" s="7">
        <x:f t="shared" si="0"/>
        <x:v>0</x:v>
      </x:c>
    </x:row>
    <x:row r="46">
      <x:c r="A46" t="s">
        <x:v>82</x:v>
      </x:c>
      <x:c r="B46" s="25">
        <x:v>0.08</x:v>
      </x:c>
      <x:c r="C46" s="26">
        <x:v>-1.0325655281969801</x:v>
      </x:c>
      <x:c r="D46" s="7">
        <x:f t="shared" si="0"/>
        <x:v>-8.2605242255758406E-4</x:v>
      </x:c>
    </x:row>
    <x:row r="47">
      <x:c r="A47" t="s">
        <x:v>83</x:v>
      </x:c>
      <x:c r="B47" s="25">
        <x:v>0.01</x:v>
      </x:c>
      <x:c r="C47" s="26">
        <x:v>-0.81154192966636596</x:v>
      </x:c>
      <x:c r="D47" s="7">
        <x:f t="shared" si="0"/>
        <x:v>-8.1154192966636596E-5</x:v>
      </x:c>
    </x:row>
    <x:row r="48">
      <x:c r="A48" t="s">
        <x:v>84</x:v>
      </x:c>
      <x:c r="B48" s="25">
        <x:v>3.34</x:v>
      </x:c>
      <x:c r="C48" s="26">
        <x:v>0.12</x:v>
      </x:c>
      <x:c r="D48" s="7">
        <x:f t="shared" si="0"/>
        <x:v>4.0080000000000003E-3</x:v>
      </x:c>
    </x:row>
    <x:row r="49">
      <x:c r="A49" t="s">
        <x:v>85</x:v>
      </x:c>
      <x:c r="B49" s="25">
        <x:v>2.5499999999999998</x:v>
      </x:c>
      <x:c r="C49" s="26">
        <x:v>0.12</x:v>
      </x:c>
      <x:c r="D49" s="7">
        <x:f t="shared" si="0"/>
        <x:v>3.0599999999999998E-3</x:v>
      </x:c>
    </x:row>
    <x:row r="50">
      <x:c r="A50" s="15" t="s">
        <x:v>24</x:v>
      </x:c>
      <x:c r="B50" s="5" t="n">
        <x:f>SUM(B2:B49)</x:f>
        <x:v>92.3</x:v>
      </x:c>
      <x:c r="C50" s="5"/>
      <x:c r="D50" s="6" t="n">
        <x:f>SUM(D2:D49)</x:f>
        <x:v>0.8088830963504808</x:v>
      </x:c>
    </x:row>
    <x:row r="60">
      <x:c r="A60" s="5"/>
      <x:c r="B60" s="30"/>
      <x:c r="C60" s="30"/>
      <x:c r="D60" s="19"/>
      <x:c r="E60" s="5"/>
      <x:c r="F60" s="5"/>
    </x:row>
    <x:row r="61">
      <x:c r="A61" s="22"/>
      <x:c r="B61" s="29"/>
      <x:c r="C61" s="29"/>
      <x:c r="D61" s="20"/>
      <x:c r="E61" s="20"/>
      <x:c r="F61" s="23"/>
    </x:row>
    <x:row r="62">
      <x:c r="A62" s="22"/>
      <x:c r="B62" s="29"/>
      <x:c r="C62" s="29"/>
      <x:c r="D62" s="20"/>
      <x:c r="E62" s="20"/>
      <x:c r="F62" s="23"/>
    </x:row>
    <x:row r="63">
      <x:c r="A63" s="22"/>
      <x:c r="B63" s="29"/>
      <x:c r="C63" s="29"/>
      <x:c r="D63" s="20"/>
      <x:c r="E63" s="20"/>
      <x:c r="F63" s="23"/>
    </x:row>
    <x:row r="64">
      <x:c r="A64" s="22"/>
      <x:c r="B64" s="29"/>
      <x:c r="C64" s="29"/>
      <x:c r="D64" s="20"/>
      <x:c r="E64" s="20"/>
      <x:c r="F64" s="23"/>
    </x:row>
    <x:row r="65">
      <x:c r="A65" s="22"/>
      <x:c r="B65" s="29"/>
      <x:c r="C65" s="29"/>
      <x:c r="D65" s="20"/>
      <x:c r="E65" s="20"/>
      <x:c r="F65" s="23"/>
    </x:row>
    <x:row r="66">
      <x:c r="A66" s="22"/>
      <x:c r="B66" s="29"/>
      <x:c r="C66" s="29"/>
      <x:c r="D66" s="20"/>
      <x:c r="E66" s="20"/>
      <x:c r="F66" s="23"/>
    </x:row>
    <x:row r="67">
      <x:c r="A67" s="22"/>
      <x:c r="B67" s="29"/>
      <x:c r="C67" s="29"/>
      <x:c r="D67" s="20"/>
      <x:c r="E67" s="20"/>
      <x:c r="F67" s="23"/>
    </x:row>
    <x:row r="68">
      <x:c r="A68" s="22"/>
      <x:c r="B68" s="29"/>
      <x:c r="C68" s="29"/>
      <x:c r="D68" s="20"/>
      <x:c r="E68" s="20"/>
      <x:c r="F68" s="23"/>
    </x:row>
    <x:row r="69">
      <x:c r="A69" s="22"/>
      <x:c r="B69" s="29"/>
      <x:c r="C69" s="29"/>
      <x:c r="D69" s="20"/>
      <x:c r="E69" s="20"/>
      <x:c r="F69" s="23"/>
    </x:row>
    <x:row r="70">
      <x:c r="A70" s="22"/>
      <x:c r="B70" s="29"/>
      <x:c r="C70" s="29"/>
      <x:c r="D70" s="20"/>
      <x:c r="E70" s="20"/>
      <x:c r="F70" s="23"/>
    </x:row>
    <x:row r="71">
      <x:c r="A71" s="22"/>
      <x:c r="B71" s="29"/>
      <x:c r="C71" s="29"/>
      <x:c r="D71" s="20"/>
      <x:c r="E71" s="20"/>
      <x:c r="F71" s="23"/>
    </x:row>
    <x:row r="72">
      <x:c r="A72" s="22"/>
      <x:c r="B72" s="29"/>
      <x:c r="C72" s="29"/>
      <x:c r="D72" s="20"/>
      <x:c r="E72" s="20"/>
      <x:c r="F72" s="23"/>
    </x:row>
    <x:row r="73">
      <x:c r="A73" s="22"/>
      <x:c r="B73" s="29"/>
      <x:c r="C73" s="29"/>
      <x:c r="D73" s="20"/>
      <x:c r="E73" s="20"/>
      <x:c r="F73" s="23"/>
    </x:row>
    <x:row r="74">
      <x:c r="F74" s="23"/>
    </x:row>
    <x:row r="75">
      <x:c r="F75" s="23"/>
    </x:row>
    <x:row r="76">
      <x:c r="F76" s="23"/>
    </x:row>
    <x:row r="77">
      <x:c r="F77" s="23"/>
    </x:row>
    <x:row r="78">
      <x:c r="F78" s="23"/>
    </x:row>
  </x:sheetData>
  <x:mergeCells>
    <x:mergeCell ref="B73:C73"/>
    <x:mergeCell ref="B72:C72"/>
    <x:mergeCell ref="B65:C65"/>
    <x:mergeCell ref="B71:C71"/>
    <x:mergeCell ref="B60:C60"/>
    <x:mergeCell ref="B61:C61"/>
    <x:mergeCell ref="B62:C62"/>
    <x:mergeCell ref="B63:C63"/>
    <x:mergeCell ref="B64:C64"/>
    <x:mergeCell ref="B70:C70"/>
    <x:mergeCell ref="B69:C69"/>
    <x:mergeCell ref="B68:C68"/>
    <x:mergeCell ref="B66:C66"/>
    <x:mergeCell ref="B67:C6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customWidth="1"/>
    <x:col min="3" max="3" width="10.42578125" customWidth="1"/>
    <x:col min="4" max="4" width="18" customWidth="1"/>
    <x:col min="5" max="5" width="27" customWidth="1"/>
  </x:cols>
  <x:sheetData>
    <x:row r="1">
      <x:c r="A1" s="2" t="s">
        <x:v>0</x:v>
      </x:c>
      <x:c r="B1" s="2" t="s">
        <x:v>1</x:v>
      </x:c>
      <x:c r="C1" s="1" t="s">
        <x:v>2</x:v>
      </x:c>
      <x:c r="D1" s="1" t="s">
        <x:v>3</x:v>
      </x:c>
    </x:row>
    <x:row r="2">
      <x:c r="A2" s="4" t="s">
        <x:v>78</x:v>
      </x:c>
      <x:c r="B2" s="4">
        <x:v>4.88</x:v>
      </x:c>
      <x:c r="C2" s="8">
        <x:v>1.0006253908692899</x:v>
      </x:c>
      <x:c r="D2" s="7" t="n">
        <x:f>B2*C2/100</x:f>
        <x:v>0.04883051907442135</x:v>
      </x:c>
    </x:row>
    <x:row r="3">
      <x:c r="A3" s="4" t="s">
        <x:v>4</x:v>
      </x:c>
      <x:c r="B3" s="4">
        <x:v>5.46</x:v>
      </x:c>
      <x:c r="C3" s="8">
        <x:v>0.84033613445378097</x:v>
      </x:c>
      <x:c r="D3" s="7" t="n">
        <x:f>B3*C3/100</x:f>
        <x:v>0.045882352941176444</x:v>
      </x:c>
    </x:row>
    <x:row r="4">
      <x:c r="A4" s="4" t="s">
        <x:v>8</x:v>
      </x:c>
      <x:c r="B4" s="4">
        <x:v>6.71</x:v>
      </x:c>
      <x:c r="C4" s="8">
        <x:v>-0.222345747637576</x:v>
      </x:c>
      <x:c r="D4" s="7" t="n">
        <x:f t="shared" ref="D4:D34" si="0">B4*C4/100</x:f>
        <x:v>-0.014919399666481349</x:v>
      </x:c>
    </x:row>
    <x:row r="5">
      <x:c r="A5" s="4" t="s">
        <x:v>6</x:v>
      </x:c>
      <x:c r="B5" s="4">
        <x:v>3.53</x:v>
      </x:c>
      <x:c r="C5" s="8">
        <x:v>-9.9610220874837498</x:v>
      </x:c>
      <x:c r="D5" s="7">
        <x:f t="shared" si="0"/>
        <x:v>-0.35162407968817633</x:v>
      </x:c>
    </x:row>
    <x:row r="6">
      <x:c r="A6" s="4" t="s">
        <x:v>15</x:v>
      </x:c>
      <x:c r="B6" s="4">
        <x:v>4.26</x:v>
      </x:c>
      <x:c r="C6" s="8">
        <x:v>5.5447470817120603</x:v>
      </x:c>
      <x:c r="D6" s="7">
        <x:f t="shared" si="0"/>
        <x:v>0.23620622568093375</x:v>
      </x:c>
    </x:row>
    <x:row r="7">
      <x:c r="A7" s="4" t="s">
        <x:v>18</x:v>
      </x:c>
      <x:c r="B7" s="4">
        <x:v>6.79</x:v>
      </x:c>
      <x:c r="C7" s="8">
        <x:v>0</x:v>
      </x:c>
      <x:c r="D7" s="7">
        <x:f t="shared" si="0"/>
        <x:v>0</x:v>
      </x:c>
    </x:row>
    <x:row r="8">
      <x:c r="A8" s="4" t="s">
        <x:v>21</x:v>
      </x:c>
      <x:c r="B8" s="4">
        <x:v>4.46</x:v>
      </x:c>
      <x:c r="C8" s="8">
        <x:v>-10</x:v>
      </x:c>
      <x:c r="D8" s="7">
        <x:f t="shared" si="0"/>
        <x:v>-0.44600000000000001</x:v>
      </x:c>
    </x:row>
    <x:row r="9">
      <x:c r="A9" s="4" t="s">
        <x:v>9</x:v>
      </x:c>
      <x:c r="B9" s="4">
        <x:v>3.02</x:v>
      </x:c>
      <x:c r="C9" s="8">
        <x:v>1.5384615384615301</x:v>
      </x:c>
      <x:c r="D9" s="7">
        <x:f t="shared" si="0"/>
        <x:v>4.6461538461538207E-2</x:v>
      </x:c>
    </x:row>
    <x:row r="10">
      <x:c r="A10" s="4" t="s">
        <x:v>86</x:v>
      </x:c>
      <x:c r="B10" s="4">
        <x:v>3.63</x:v>
      </x:c>
      <x:c r="C10" s="8">
        <x:v>-2.0766773162939298</x:v>
      </x:c>
      <x:c r="D10" s="7">
        <x:f t="shared" si="0"/>
        <x:v>-7.5383386581469647E-2</x:v>
      </x:c>
    </x:row>
    <x:row r="11">
      <x:c r="A11" s="4" t="s">
        <x:v>32</x:v>
      </x:c>
      <x:c r="B11" s="4">
        <x:v>1.84</x:v>
      </x:c>
      <x:c r="C11" s="8">
        <x:v>-0.434782608695652</x:v>
      </x:c>
      <x:c r="D11" s="7">
        <x:f t="shared" si="0"/>
        <x:v>-7.9999999999999967E-3</x:v>
      </x:c>
    </x:row>
    <x:row r="12">
      <x:c r="A12" s="4" t="s">
        <x:v>87</x:v>
      </x:c>
      <x:c r="B12" s="4">
        <x:v>2.79</x:v>
      </x:c>
      <x:c r="C12" s="8">
        <x:v>0.38335158817086501</x:v>
      </x:c>
      <x:c r="D12" s="7">
        <x:f t="shared" si="0"/>
        <x:v>1.0695509309967134E-2</x:v>
      </x:c>
    </x:row>
    <x:row r="13">
      <x:c r="A13" s="4" t="s">
        <x:v>56</x:v>
      </x:c>
      <x:c r="B13" s="4">
        <x:v>2.25</x:v>
      </x:c>
      <x:c r="C13" s="8">
        <x:v>0.66555740432612298</x:v>
      </x:c>
      <x:c r="D13" s="7">
        <x:f t="shared" si="0"/>
        <x:v>1.4975041597337766E-2</x:v>
      </x:c>
    </x:row>
    <x:row r="14">
      <x:c r="A14" s="4" t="s">
        <x:v>88</x:v>
      </x:c>
      <x:c r="B14" s="4">
        <x:v>3.46</x:v>
      </x:c>
      <x:c r="C14" s="8">
        <x:v>-4.1168658698539096</x:v>
      </x:c>
      <x:c r="D14" s="7">
        <x:f t="shared" si="0"/>
        <x:v>-0.14244355909694525</x:v>
      </x:c>
    </x:row>
    <x:row r="15">
      <x:c r="A15" s="4" t="s">
        <x:v>89</x:v>
      </x:c>
      <x:c r="B15" s="4">
        <x:v>2.39</x:v>
      </x:c>
      <x:c r="C15" s="8">
        <x:v>-1.0556621880998001</x:v>
      </x:c>
      <x:c r="D15" s="7">
        <x:f t="shared" si="0"/>
        <x:v>-2.5230326295585224E-2</x:v>
      </x:c>
    </x:row>
    <x:row r="16">
      <x:c r="A16" s="4" t="s">
        <x:v>90</x:v>
      </x:c>
      <x:c r="B16" s="4">
        <x:v>2.4300000000000002</x:v>
      </x:c>
      <x:c r="C16" s="8">
        <x:v>-0.386996904024767</x:v>
      </x:c>
      <x:c r="D16" s="7">
        <x:f t="shared" si="0"/>
        <x:v>-9.4040247678018381E-3</x:v>
      </x:c>
    </x:row>
    <x:row r="17">
      <x:c r="A17" s="4" t="s">
        <x:v>91</x:v>
      </x:c>
      <x:c r="B17" s="4">
        <x:v>3.26</x:v>
      </x:c>
      <x:c r="C17" s="8">
        <x:v>-0.39184952978056398</x:v>
      </x:c>
      <x:c r="D17" s="7">
        <x:f t="shared" si="0"/>
        <x:v>-1.2774294670846384E-2</x:v>
      </x:c>
    </x:row>
    <x:row r="18">
      <x:c r="A18" s="4" t="s">
        <x:v>92</x:v>
      </x:c>
      <x:c r="B18" s="4">
        <x:v>0.83</x:v>
      </x:c>
      <x:c r="C18" s="8">
        <x:v>-3.9039039039038999</x:v>
      </x:c>
      <x:c r="D18" s="7">
        <x:f t="shared" si="0"/>
        <x:v>-3.2402402402402365E-2</x:v>
      </x:c>
    </x:row>
    <x:row r="19">
      <x:c r="A19" s="4" t="s">
        <x:v>93</x:v>
      </x:c>
      <x:c r="B19" s="4">
        <x:v>2.4700000000000002</x:v>
      </x:c>
      <x:c r="C19" s="8">
        <x:v>-2.9066171923314701</x:v>
      </x:c>
      <x:c r="D19" s="7">
        <x:f t="shared" si="0"/>
        <x:v>-7.1793444650587318E-2</x:v>
      </x:c>
    </x:row>
    <x:row r="20">
      <x:c r="A20" s="4" t="s">
        <x:v>10</x:v>
      </x:c>
      <x:c r="B20" s="4">
        <x:v>1.85</x:v>
      </x:c>
      <x:c r="C20" s="8">
        <x:v>3.4251175285426401</x:v>
      </x:c>
      <x:c r="D20" s="7">
        <x:f t="shared" si="0"/>
        <x:v>6.3364674278038852E-2</x:v>
      </x:c>
    </x:row>
    <x:row r="21">
      <x:c r="A21" s="4" t="s">
        <x:v>66</x:v>
      </x:c>
      <x:c r="B21" s="4">
        <x:v>2.62</x:v>
      </x:c>
      <x:c r="C21" s="8">
        <x:v>0.347423277359583</x:v>
      </x:c>
      <x:c r="D21" s="7">
        <x:f t="shared" si="0"/>
        <x:v>9.1024898668210751E-3</x:v>
      </x:c>
    </x:row>
    <x:row r="22">
      <x:c r="A22" s="4" t="s">
        <x:v>13</x:v>
      </x:c>
      <x:c r="B22" s="4">
        <x:v>2.61</x:v>
      </x:c>
      <x:c r="C22" s="8">
        <x:v>4.5098039215686203</x:v>
      </x:c>
      <x:c r="D22" s="7">
        <x:f t="shared" si="0"/>
        <x:v>0.11770588235294099</x:v>
      </x:c>
    </x:row>
    <x:row r="23">
      <x:c r="A23" s="4" t="s">
        <x:v>94</x:v>
      </x:c>
      <x:c r="B23" s="4">
        <x:v>1.56</x:v>
      </x:c>
      <x:c r="C23" s="8">
        <x:v>0</x:v>
      </x:c>
      <x:c r="D23" s="7">
        <x:f t="shared" si="0"/>
        <x:v>0</x:v>
      </x:c>
    </x:row>
    <x:row r="24">
      <x:c r="A24" s="4" t="s">
        <x:v>7</x:v>
      </x:c>
      <x:c r="B24" s="4">
        <x:v>2.4</x:v>
      </x:c>
      <x:c r="C24" s="8">
        <x:v>0.26437541308658202</x:v>
      </x:c>
      <x:c r="D24" s="7">
        <x:f t="shared" si="0"/>
        <x:v>6.3450099140779682E-3</x:v>
      </x:c>
    </x:row>
    <x:row r="25">
      <x:c r="A25" s="4" t="s">
        <x:v>95</x:v>
      </x:c>
      <x:c r="B25" s="4">
        <x:v>1.6</x:v>
      </x:c>
      <x:c r="C25" s="8">
        <x:v>-2.0446096654275001</x:v>
      </x:c>
      <x:c r="D25" s="7">
        <x:f t="shared" si="0"/>
        <x:v>-3.2713754646840003E-2</x:v>
      </x:c>
    </x:row>
    <x:row r="26">
      <x:c r="A26" s="4" t="s">
        <x:v>16</x:v>
      </x:c>
      <x:c r="B26" s="4">
        <x:v>3.22</x:v>
      </x:c>
      <x:c r="C26" s="8">
        <x:v>-2.1399652978600301</x:v>
      </x:c>
      <x:c r="D26" s="7">
        <x:f t="shared" si="0"/>
        <x:v>-6.8906882591092969E-2</x:v>
      </x:c>
    </x:row>
    <x:row r="27">
      <x:c r="A27" s="4" t="s">
        <x:v>96</x:v>
      </x:c>
      <x:c r="B27" s="4">
        <x:v>2.06</x:v>
      </x:c>
      <x:c r="C27" s="8">
        <x:v>-6.6791510611735303</x:v>
      </x:c>
      <x:c r="D27" s="7">
        <x:f t="shared" si="0"/>
        <x:v>-0.13759051186017474</x:v>
      </x:c>
    </x:row>
    <x:row r="28">
      <x:c r="A28" s="4" t="s">
        <x:v>97</x:v>
      </x:c>
      <x:c r="B28" s="4">
        <x:v>0.99</x:v>
      </x:c>
      <x:c r="C28" s="8">
        <x:v>-1.86274509803921</x:v>
      </x:c>
      <x:c r="D28" s="7">
        <x:f t="shared" si="0"/>
        <x:v>-1.844117647058818E-2</x:v>
      </x:c>
    </x:row>
    <x:row r="29">
      <x:c r="A29" s="4" t="s">
        <x:v>98</x:v>
      </x:c>
      <x:c r="B29" s="4">
        <x:v>1.59</x:v>
      </x:c>
      <x:c r="C29" s="8">
        <x:v>1.0638297872340401</x:v>
      </x:c>
      <x:c r="D29" s="7">
        <x:f t="shared" si="0"/>
        <x:v>1.691489361702124E-2</x:v>
      </x:c>
      <x:c r="E29" s="4"/>
    </x:row>
    <x:row r="30">
      <x:c r="A30" s="4" t="s">
        <x:v>99</x:v>
      </x:c>
      <x:c r="B30" s="4">
        <x:v>0.61</x:v>
      </x:c>
      <x:c r="C30" s="13">
        <x:v>8.1037277147487805E-2</x:v>
      </x:c>
      <x:c r="D30" s="7">
        <x:f t="shared" si="0"/>
        <x:v>4.9432739059967557E-4</x:v>
      </x:c>
      <x:c r="E30" s="16"/>
    </x:row>
    <x:row r="31">
      <x:c r="A31" s="4" t="s">
        <x:v>17</x:v>
      </x:c>
      <x:c r="B31" s="4">
        <x:v>0.6</x:v>
      </x:c>
      <x:c r="C31" s="8">
        <x:v>2.2532188841201699</x:v>
      </x:c>
      <x:c r="D31" s="7">
        <x:f t="shared" si="0"/>
        <x:v>1.3519313304721019E-2</x:v>
      </x:c>
    </x:row>
    <x:row r="32">
      <x:c r="A32" s="4" t="s">
        <x:v>100</x:v>
      </x:c>
      <x:c r="B32" s="4">
        <x:v>0.49</x:v>
      </x:c>
      <x:c r="C32" s="8">
        <x:v>-1.6157989228007099</x:v>
      </x:c>
      <x:c r="D32" s="7">
        <x:f t="shared" si="0"/>
        <x:v>-7.9174147217234772E-3</x:v>
      </x:c>
      <x:c r="E32" s="5"/>
    </x:row>
    <x:row r="33">
      <x:c r="A33" s="4" t="s">
        <x:v>101</x:v>
      </x:c>
      <x:c r="B33" s="4">
        <x:v>0.91</x:v>
      </x:c>
      <x:c r="C33" s="13">
        <x:v>-0.21141649048625699</x:v>
      </x:c>
      <x:c r="D33" s="7">
        <x:f t="shared" si="0"/>
        <x:v>-1.9238900634249386E-3</x:v>
      </x:c>
      <x:c r="E33" s="20"/>
    </x:row>
    <x:row r="34">
      <x:c r="A34" s="4" t="s">
        <x:v>102</x:v>
      </x:c>
      <x:c r="B34" s="4">
        <x:v>0.05</x:v>
      </x:c>
      <x:c r="C34" s="8">
        <x:v>7.6305220883534099</x:v>
      </x:c>
      <x:c r="D34" s="7">
        <x:f t="shared" si="0"/>
        <x:v>3.8152610441767056E-3</x:v>
      </x:c>
      <x:c r="E34" s="21"/>
    </x:row>
    <x:row r="35">
      <x:c r="A35" s="15" t="s">
        <x:v>24</x:v>
      </x:c>
      <x:c r="B35" s="6" t="n">
        <x:f>SUM(B2:B34)</x:f>
        <x:v>87.61999999999999</x:v>
      </x:c>
      <x:c r="C35" s="5"/>
      <x:c r="D35" s="6" t="n">
        <x:f>SUM(D2:D34)</x:f>
        <x:v>-0.8231555093403681</x:v>
      </x:c>
      <x:c r="E35" s="21"/>
    </x:row>
    <x:row r="36">
      <x:c r="A36" s="17"/>
      <x:c r="B36" s="29"/>
      <x:c r="C36" s="29"/>
      <x:c r="D36" s="24"/>
      <x:c r="E36" s="21"/>
    </x:row>
    <x:row r="37">
      <x:c r="A37" s="17"/>
      <x:c r="B37" s="29"/>
      <x:c r="C37" s="29"/>
      <x:c r="D37" s="24"/>
      <x:c r="E37" s="21"/>
    </x:row>
    <x:row r="38">
      <x:c r="A38" s="17"/>
      <x:c r="B38" s="29"/>
      <x:c r="C38" s="29"/>
      <x:c r="D38" s="24"/>
      <x:c r="E38" s="21"/>
    </x:row>
    <x:row r="39">
      <x:c r="A39" s="17"/>
      <x:c r="B39" s="29"/>
      <x:c r="C39" s="29"/>
      <x:c r="D39" s="24"/>
      <x:c r="E39" s="21"/>
    </x:row>
    <x:row r="40">
      <x:c r="A40" s="17"/>
      <x:c r="B40" s="29"/>
      <x:c r="C40" s="29"/>
      <x:c r="D40" s="24"/>
      <x:c r="E40" s="21"/>
    </x:row>
    <x:row r="41">
      <x:c r="A41" s="17"/>
      <x:c r="B41" s="29"/>
      <x:c r="C41" s="29"/>
      <x:c r="D41" s="24"/>
      <x:c r="E41" s="21"/>
    </x:row>
    <x:row r="42">
      <x:c r="A42" s="17"/>
      <x:c r="B42" s="29"/>
      <x:c r="C42" s="29"/>
      <x:c r="D42" s="24"/>
      <x:c r="E42" s="21"/>
    </x:row>
    <x:row r="43">
      <x:c r="A43" s="17"/>
      <x:c r="B43" s="29"/>
      <x:c r="C43" s="29"/>
      <x:c r="D43" s="24"/>
      <x:c r="E43" s="21"/>
    </x:row>
    <x:row r="44">
      <x:c r="A44" s="17"/>
      <x:c r="B44" s="29"/>
      <x:c r="C44" s="29"/>
      <x:c r="D44" s="24"/>
      <x:c r="E44" s="21"/>
    </x:row>
    <x:row r="45">
      <x:c r="A45" s="17"/>
      <x:c r="B45" s="29"/>
      <x:c r="C45" s="29"/>
      <x:c r="D45" s="24"/>
      <x:c r="E45" s="21"/>
    </x:row>
    <x:row r="46">
      <x:c r="A46" s="17"/>
      <x:c r="B46" s="29"/>
      <x:c r="C46" s="29"/>
      <x:c r="D46" s="24"/>
      <x:c r="E46" s="21"/>
    </x:row>
  </x:sheetData>
  <x:mergeCells>
    <x:mergeCell ref="B41:C41"/>
    <x:mergeCell ref="B36:C36"/>
    <x:mergeCell ref="B37:C37"/>
    <x:mergeCell ref="B38:C38"/>
    <x:mergeCell ref="B39:C39"/>
    <x:mergeCell ref="B40:C40"/>
    <x:mergeCell ref="B42:C42"/>
    <x:mergeCell ref="B43:C43"/>
    <x:mergeCell ref="B44:C44"/>
    <x:mergeCell ref="B45:C45"/>
    <x:mergeCell ref="B46:C4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2" t="s">
        <x:v>0</x:v>
      </x:c>
      <x:c r="B1" s="2" t="s">
        <x:v>1</x:v>
      </x:c>
      <x:c r="C1" s="1" t="s">
        <x:v>2</x:v>
      </x:c>
      <x:c r="D1" s="1" t="s">
        <x:v>3</x:v>
      </x:c>
    </x:row>
    <x:row r="2">
      <x:c r="A2" s="4" t="s">
        <x:v>4</x:v>
      </x:c>
      <x:c r="B2" s="4">
        <x:v>13.2</x:v>
      </x:c>
      <x:c r="C2" s="8">
        <x:v>0.84033613445378097</x:v>
      </x:c>
      <x:c r="D2" s="7" t="n">
        <x:f>B2*C2/100</x:f>
        <x:v>0.11092436974789908</x:v>
      </x:c>
    </x:row>
    <x:row r="3">
      <x:c r="A3" s="4" t="s">
        <x:v>6</x:v>
      </x:c>
      <x:c r="B3" s="4">
        <x:v>10</x:v>
      </x:c>
      <x:c r="C3" s="8">
        <x:v>-9.9610220874837498</x:v>
      </x:c>
      <x:c r="D3" s="7" t="n">
        <x:f>B3*C3/100</x:f>
        <x:v>-0.996102208748375</x:v>
      </x:c>
    </x:row>
    <x:row r="4">
      <x:c r="A4" s="4" t="s">
        <x:v>12</x:v>
      </x:c>
      <x:c r="B4" s="4">
        <x:v>11.51</x:v>
      </x:c>
      <x:c r="C4" s="8">
        <x:v>1.6239316239316199</x:v>
      </x:c>
      <x:c r="D4" s="7" t="n">
        <x:f t="shared" ref="D4:D20" si="0">B4*C4/100</x:f>
        <x:v>0.18691452991452945</x:v>
      </x:c>
    </x:row>
    <x:row r="5">
      <x:c r="A5" s="4" t="s">
        <x:v>10</x:v>
      </x:c>
      <x:c r="B5" s="4">
        <x:v>10.17</x:v>
      </x:c>
      <x:c r="C5" s="8">
        <x:v>3.4251175285426401</x:v>
      </x:c>
      <x:c r="D5" s="7">
        <x:f t="shared" si="0"/>
        <x:v>0.34833445265278651</x:v>
      </x:c>
    </x:row>
    <x:row r="6">
      <x:c r="A6" s="4" t="s">
        <x:v>9</x:v>
      </x:c>
      <x:c r="B6" s="4">
        <x:v>16.21</x:v>
      </x:c>
      <x:c r="C6" s="8">
        <x:v>1.5384615384615301</x:v>
      </x:c>
      <x:c r="D6" s="7">
        <x:f t="shared" si="0"/>
        <x:v>0.24938461538461404</x:v>
      </x:c>
    </x:row>
    <x:row r="7">
      <x:c r="A7" s="4" t="s">
        <x:v>13</x:v>
      </x:c>
      <x:c r="B7" s="4">
        <x:v>5.81</x:v>
      </x:c>
      <x:c r="C7" s="8">
        <x:v>4.5098039215686203</x:v>
      </x:c>
      <x:c r="D7" s="7">
        <x:f t="shared" si="0"/>
        <x:v>0.26201960784313683</x:v>
      </x:c>
    </x:row>
    <x:row r="8">
      <x:c r="A8" s="4" t="s">
        <x:v>7</x:v>
      </x:c>
      <x:c r="B8" s="4">
        <x:v>2.77</x:v>
      </x:c>
      <x:c r="C8" s="8">
        <x:v>0.26437541308658202</x:v>
      </x:c>
      <x:c r="D8" s="7">
        <x:f t="shared" si="0"/>
        <x:v>7.323198942498322E-3</x:v>
      </x:c>
    </x:row>
    <x:row r="9">
      <x:c r="A9" s="4" t="s">
        <x:v>21</x:v>
      </x:c>
      <x:c r="B9" s="4">
        <x:v>2.41</x:v>
      </x:c>
      <x:c r="C9" s="8">
        <x:v>-10</x:v>
      </x:c>
      <x:c r="D9" s="7">
        <x:f t="shared" si="0"/>
        <x:v>-0.24100000000000002</x:v>
      </x:c>
    </x:row>
    <x:row r="10">
      <x:c r="A10" s="4" t="s">
        <x:v>17</x:v>
      </x:c>
      <x:c r="B10" s="4">
        <x:v>1.27</x:v>
      </x:c>
      <x:c r="C10" s="8">
        <x:v>2.2532188841201699</x:v>
      </x:c>
      <x:c r="D10" s="7">
        <x:f t="shared" si="0"/>
        <x:v>2.8615879828326158E-2</x:v>
      </x:c>
    </x:row>
    <x:row r="11">
      <x:c r="A11" s="4" t="s">
        <x:v>5</x:v>
      </x:c>
      <x:c r="B11" s="4">
        <x:v>1.77</x:v>
      </x:c>
      <x:c r="C11" s="8">
        <x:v>6.8181818181818103</x:v>
      </x:c>
      <x:c r="D11" s="7">
        <x:f t="shared" si="0"/>
        <x:v>0.12068181818181804</x:v>
      </x:c>
    </x:row>
    <x:row r="12">
      <x:c r="A12" s="4" t="s">
        <x:v>11</x:v>
      </x:c>
      <x:c r="B12" s="4">
        <x:v>1.32</x:v>
      </x:c>
      <x:c r="C12" s="8">
        <x:v>5.92417061611374E-2</x:v>
      </x:c>
      <x:c r="D12" s="7">
        <x:f t="shared" si="0"/>
        <x:v>7.8199052132701366E-4</x:v>
      </x:c>
    </x:row>
    <x:row r="13">
      <x:c r="A13" s="4" t="s">
        <x:v>67</x:v>
      </x:c>
      <x:c r="B13" s="4">
        <x:v>0.18</x:v>
      </x:c>
      <x:c r="C13" s="8">
        <x:v>-1.8973214285714199</x:v>
      </x:c>
      <x:c r="D13" s="7">
        <x:f t="shared" si="0"/>
        <x:v>-3.415178571428556E-3</x:v>
      </x:c>
    </x:row>
    <x:row r="14">
      <x:c r="A14" s="4" t="s">
        <x:v>103</x:v>
      </x:c>
      <x:c r="B14" s="4">
        <x:v>0.04</x:v>
      </x:c>
      <x:c r="C14" s="8">
        <x:v>0</x:v>
      </x:c>
      <x:c r="D14" s="7">
        <x:f t="shared" si="0"/>
        <x:v>0</x:v>
      </x:c>
    </x:row>
    <x:row r="15">
      <x:c r="A15" s="4" t="s">
        <x:v>14</x:v>
      </x:c>
      <x:c r="B15" s="4">
        <x:v>0.05</x:v>
      </x:c>
      <x:c r="C15" s="8">
        <x:v>-9.9529780564263302</x:v>
      </x:c>
      <x:c r="D15" s="7">
        <x:f t="shared" si="0"/>
        <x:v>-4.9764890282131651E-3</x:v>
      </x:c>
    </x:row>
    <x:row r="16">
      <x:c r="A16" s="4" t="s">
        <x:v>51</x:v>
      </x:c>
      <x:c r="B16" s="4">
        <x:v>0.33</x:v>
      </x:c>
      <x:c r="C16" s="8">
        <x:v>0.62041737168640698</x:v>
      </x:c>
      <x:c r="D16" s="7">
        <x:f t="shared" si="0"/>
        <x:v>2.0473773265651434E-3</x:v>
      </x:c>
    </x:row>
    <x:row r="17">
      <x:c r="A17" s="4" t="s">
        <x:v>30</x:v>
      </x:c>
      <x:c r="B17" s="4">
        <x:v>0.12</x:v>
      </x:c>
      <x:c r="C17" s="8">
        <x:v>-0.12285012285012201</x:v>
      </x:c>
      <x:c r="D17" s="7">
        <x:f t="shared" si="0"/>
        <x:v>-1.474201474201464E-4</x:v>
      </x:c>
    </x:row>
    <x:row r="18">
      <x:c r="A18" s="4" t="s">
        <x:v>87</x:v>
      </x:c>
      <x:c r="B18" s="4">
        <x:v>0.18</x:v>
      </x:c>
      <x:c r="C18" s="8">
        <x:v>0.38335158817086501</x:v>
      </x:c>
      <x:c r="D18" s="7">
        <x:f t="shared" si="0"/>
        <x:v>6.9003285870755703E-4</x:v>
      </x:c>
    </x:row>
    <x:row r="19">
      <x:c r="A19" s="4" t="s">
        <x:v>36</x:v>
      </x:c>
      <x:c r="B19" s="4">
        <x:v>0.24</x:v>
      </x:c>
      <x:c r="C19" s="8">
        <x:v>-0.64724919093851097</x:v>
      </x:c>
      <x:c r="D19" s="7">
        <x:f t="shared" si="0"/>
        <x:v>-1.5533980582524262E-3</x:v>
      </x:c>
    </x:row>
    <x:row r="20">
      <x:c r="A20" s="4" t="s">
        <x:v>16</x:v>
      </x:c>
      <x:c r="B20" s="4">
        <x:v>0.05</x:v>
      </x:c>
      <x:c r="C20" s="8">
        <x:v>-2.1399652978600301</x:v>
      </x:c>
      <x:c r="D20" s="7">
        <x:f t="shared" si="0"/>
        <x:v>-1.0699826489300151E-3</x:v>
      </x:c>
    </x:row>
    <x:row r="21">
      <x:c r="A21" s="15" t="s">
        <x:v>24</x:v>
      </x:c>
      <x:c r="B21" s="6" t="n">
        <x:f>SUM(B2:B20)</x:f>
        <x:v>77.63</x:v>
      </x:c>
      <x:c r="C21" s="5"/>
      <x:c r="D21" s="6" t="n">
        <x:f>SUM(D2:D20)</x:f>
        <x:v>0.06945319599958881</x:v>
      </x:c>
    </x:row>
  </x:sheetData>
  <x:pageMargins left="0.7" right="0.7" top="0.75" bottom="0.75" header="0.3" footer="0.3"/>
</x:worksheet>
</file>