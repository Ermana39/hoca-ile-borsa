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600B5405-257A-4F29-8909-0B59A0028763}" xr6:coauthVersionLast="47" xr6:coauthVersionMax="47" xr10:uidLastSave="{00000000-0000-0000-0000-000000000000}"/>
  <bookViews>
    <workbookView xWindow="-37965" yWindow="300" windowWidth="15510" windowHeight="20655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  <sheet name="TMV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" i="4"/>
  <c r="D3" i="4"/>
  <c r="D2" i="4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34" i="8"/>
  <c r="D33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21" i="9"/>
  <c r="D20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D3" i="9"/>
  <c r="D19" i="9"/>
  <c r="D32" i="8"/>
  <c r="D21" i="7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3" i="1"/>
  <c r="D22" i="1"/>
  <c r="D21" i="1"/>
  <c r="B27" i="2"/>
  <c r="D26" i="2"/>
  <c r="D25" i="2"/>
  <c r="D24" i="2"/>
  <c r="D23" i="2"/>
  <c r="B10" i="4"/>
  <c r="D9" i="4"/>
  <c r="D8" i="4"/>
  <c r="D7" i="4"/>
  <c r="D6" i="4"/>
  <c r="D5" i="4"/>
  <c r="B50" i="7"/>
  <c r="D49" i="7"/>
  <c r="D48" i="7"/>
  <c r="B35" i="8"/>
  <c r="D23" i="1" l="1"/>
  <c r="D27" i="2"/>
  <c r="D10" i="4"/>
  <c r="D50" i="7"/>
  <c r="D35" i="8"/>
  <c r="D22" i="9"/>
</calcChain>
</file>

<file path=xl/sharedStrings.xml><?xml version="1.0" encoding="utf-8"?>
<sst xmlns="http://schemas.openxmlformats.org/spreadsheetml/2006/main" count="185" uniqueCount="105">
  <si>
    <t>SEMBOL</t>
  </si>
  <si>
    <t>FON ORANI</t>
  </si>
  <si>
    <t>KAPANIŞ MARJI</t>
  </si>
  <si>
    <t>ETKİ</t>
  </si>
  <si>
    <t>OZATD</t>
  </si>
  <si>
    <t>DSTKF</t>
  </si>
  <si>
    <t>TEHOL</t>
  </si>
  <si>
    <t>PEKGY</t>
  </si>
  <si>
    <t>TERA</t>
  </si>
  <si>
    <t>TRHOL</t>
  </si>
  <si>
    <t>ANELE</t>
  </si>
  <si>
    <t>ALKLC</t>
  </si>
  <si>
    <t>SELEC</t>
  </si>
  <si>
    <t>BIGEN</t>
  </si>
  <si>
    <t>HEDEF</t>
  </si>
  <si>
    <t>KARCL</t>
  </si>
  <si>
    <t>SVGYO</t>
  </si>
  <si>
    <t>EUPWR</t>
  </si>
  <si>
    <t>MANAS</t>
  </si>
  <si>
    <t>SARAE</t>
  </si>
  <si>
    <t>DAPGM</t>
  </si>
  <si>
    <t>TMPOL</t>
  </si>
  <si>
    <t>HMV</t>
  </si>
  <si>
    <t>T3B</t>
  </si>
  <si>
    <t>Toplam</t>
  </si>
  <si>
    <t>ETKİ ORANI</t>
  </si>
  <si>
    <t>ODINE</t>
  </si>
  <si>
    <t>PASEU</t>
  </si>
  <si>
    <t>GUNDG</t>
  </si>
  <si>
    <t>KTLEV</t>
  </si>
  <si>
    <t>AKSEN</t>
  </si>
  <si>
    <t>BALSU</t>
  </si>
  <si>
    <t>TATEN</t>
  </si>
  <si>
    <t>IZFAS</t>
  </si>
  <si>
    <t>IZENR</t>
  </si>
  <si>
    <t>ALVES</t>
  </si>
  <si>
    <t>TURSG</t>
  </si>
  <si>
    <t>TRALT</t>
  </si>
  <si>
    <t>MOPAS</t>
  </si>
  <si>
    <t>PKZ</t>
  </si>
  <si>
    <t>PCS</t>
  </si>
  <si>
    <t>PRY</t>
  </si>
  <si>
    <t>PDG</t>
  </si>
  <si>
    <t>IEYHO</t>
  </si>
  <si>
    <t>ISKPL</t>
  </si>
  <si>
    <t>LIDER</t>
  </si>
  <si>
    <t>ABG</t>
  </si>
  <si>
    <t>PSE</t>
  </si>
  <si>
    <t>BAC</t>
  </si>
  <si>
    <t>KVR</t>
  </si>
  <si>
    <t>PFS</t>
  </si>
  <si>
    <t>GESAN</t>
  </si>
  <si>
    <t>CWENE</t>
  </si>
  <si>
    <t>TCELL</t>
  </si>
  <si>
    <t>PSGYO</t>
  </si>
  <si>
    <t>EREGL</t>
  </si>
  <si>
    <t>THYAO</t>
  </si>
  <si>
    <t>PGSUS</t>
  </si>
  <si>
    <t>AEFES</t>
  </si>
  <si>
    <t>SAHOL</t>
  </si>
  <si>
    <t>KCHOL</t>
  </si>
  <si>
    <t>ARCLK</t>
  </si>
  <si>
    <t>BIMAS</t>
  </si>
  <si>
    <t>ISCTR</t>
  </si>
  <si>
    <t>ULKER</t>
  </si>
  <si>
    <t>AKBNK</t>
  </si>
  <si>
    <t>HALKB</t>
  </si>
  <si>
    <t>KORDS</t>
  </si>
  <si>
    <t>TAVHL</t>
  </si>
  <si>
    <t>ISMEN</t>
  </si>
  <si>
    <t>GARAN</t>
  </si>
  <si>
    <t>PETKM</t>
  </si>
  <si>
    <t>MGROS</t>
  </si>
  <si>
    <t>CCOLA</t>
  </si>
  <si>
    <t>ALARK</t>
  </si>
  <si>
    <t>AGHOL</t>
  </si>
  <si>
    <t>FROTO</t>
  </si>
  <si>
    <t>MAVI</t>
  </si>
  <si>
    <t>ASELS</t>
  </si>
  <si>
    <t>GLRYH</t>
  </si>
  <si>
    <t>BRKO</t>
  </si>
  <si>
    <t>A1CAP</t>
  </si>
  <si>
    <t>BIZIM</t>
  </si>
  <si>
    <t>TOASO</t>
  </si>
  <si>
    <t>PKV</t>
  </si>
  <si>
    <t>PIS</t>
  </si>
  <si>
    <t>GIPTA</t>
  </si>
  <si>
    <t>YKBNK</t>
  </si>
  <si>
    <t>BRSAN</t>
  </si>
  <si>
    <t>ORZAX</t>
  </si>
  <si>
    <t>KGYO</t>
  </si>
  <si>
    <t>NETCD</t>
  </si>
  <si>
    <t>BARMA</t>
  </si>
  <si>
    <t>MCARD</t>
  </si>
  <si>
    <t>GLRMK</t>
  </si>
  <si>
    <t>EGEGY</t>
  </si>
  <si>
    <t>TUPRS</t>
  </si>
  <si>
    <t>TABGD</t>
  </si>
  <si>
    <t>ATATR</t>
  </si>
  <si>
    <t>MOBTL</t>
  </si>
  <si>
    <t>BSOKE</t>
  </si>
  <si>
    <t>RUZYE</t>
  </si>
  <si>
    <t>RNPOL</t>
  </si>
  <si>
    <t xml:space="preserve">MANAS </t>
  </si>
  <si>
    <t>ISVEA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</si>
</sst>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0">
    <xf numFmtId="0" fontId="0" fillId="0" borderId="0" xfId="0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3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workbookViewId="0">
      <selection activeCell="H22" sqref="H22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4" t="s">
        <v>0</v>
      </c>
      <c r="B1" s="24" t="s">
        <v>1</v>
      </c>
      <c r="C1" s="25" t="s">
        <v>2</v>
      </c>
      <c r="D1" s="25" t="s">
        <v>3</v>
      </c>
    </row>
    <row r="2" spans="1:4" x14ac:dyDescent="0.25">
      <c r="A2" s="2" t="s">
        <v>4</v>
      </c>
      <c r="B2" s="29">
        <v>25.2</v>
      </c>
      <c r="C2" s="1">
        <v>-0.31023784901758</v>
      </c>
      <c r="D2" s="5">
        <f>B2*C2/100</f>
        <v>-7.8179937952430154E-2</v>
      </c>
    </row>
    <row r="3" spans="1:4" x14ac:dyDescent="0.25">
      <c r="A3" s="2" t="s">
        <v>5</v>
      </c>
      <c r="B3" s="29">
        <v>19.989999999999998</v>
      </c>
      <c r="C3" s="1">
        <v>5.2378664103796204</v>
      </c>
      <c r="D3" s="5">
        <f>B3*C3/100</f>
        <v>1.0470494954348861</v>
      </c>
    </row>
    <row r="4" spans="1:4" x14ac:dyDescent="0.25">
      <c r="A4" s="2" t="s">
        <v>6</v>
      </c>
      <c r="B4" s="29">
        <v>7.2</v>
      </c>
      <c r="C4" s="1">
        <v>1.38888888888888</v>
      </c>
      <c r="D4" s="5">
        <f t="shared" ref="D4:D22" si="0">B4*C4/100</f>
        <v>9.9999999999999367E-2</v>
      </c>
    </row>
    <row r="5" spans="1:4" x14ac:dyDescent="0.25">
      <c r="A5" s="2" t="s">
        <v>7</v>
      </c>
      <c r="B5" s="29">
        <v>4.49</v>
      </c>
      <c r="C5" s="1">
        <v>-9.9682539682539595</v>
      </c>
      <c r="D5" s="5">
        <f t="shared" si="0"/>
        <v>-0.44757460317460279</v>
      </c>
    </row>
    <row r="6" spans="1:4" x14ac:dyDescent="0.25">
      <c r="A6" s="2" t="s">
        <v>8</v>
      </c>
      <c r="B6" s="29">
        <v>2.9258999999999999</v>
      </c>
      <c r="C6" s="1">
        <v>1.3333333333333299</v>
      </c>
      <c r="D6" s="5">
        <f t="shared" si="0"/>
        <v>3.9011999999999901E-2</v>
      </c>
    </row>
    <row r="7" spans="1:4" x14ac:dyDescent="0.25">
      <c r="A7" s="2" t="s">
        <v>9</v>
      </c>
      <c r="B7" s="29">
        <v>8.16</v>
      </c>
      <c r="C7" s="1">
        <v>6.8580542264752697</v>
      </c>
      <c r="D7" s="5">
        <f t="shared" si="0"/>
        <v>0.55961722488038201</v>
      </c>
    </row>
    <row r="8" spans="1:4" x14ac:dyDescent="0.25">
      <c r="A8" s="2" t="s">
        <v>10</v>
      </c>
      <c r="B8" s="29">
        <v>4.4031000000000002</v>
      </c>
      <c r="C8" s="1">
        <v>1.3123359580052401</v>
      </c>
      <c r="D8" s="5">
        <f t="shared" si="0"/>
        <v>5.7783464566928726E-2</v>
      </c>
    </row>
    <row r="9" spans="1:4" x14ac:dyDescent="0.25">
      <c r="A9" s="2" t="s">
        <v>11</v>
      </c>
      <c r="B9" s="29">
        <v>0.50749999999999995</v>
      </c>
      <c r="C9" s="1">
        <v>0.29359953024075103</v>
      </c>
      <c r="D9" s="5">
        <f t="shared" si="0"/>
        <v>1.4900176159718113E-3</v>
      </c>
    </row>
    <row r="10" spans="1:4" x14ac:dyDescent="0.25">
      <c r="A10" s="2" t="s">
        <v>12</v>
      </c>
      <c r="B10" s="29">
        <v>2.1320000000000001</v>
      </c>
      <c r="C10" s="1">
        <v>1.3493253373313301</v>
      </c>
      <c r="D10" s="5">
        <f t="shared" si="0"/>
        <v>2.8767616191903961E-2</v>
      </c>
    </row>
    <row r="11" spans="1:4" x14ac:dyDescent="0.25">
      <c r="A11" s="2" t="s">
        <v>13</v>
      </c>
      <c r="B11" s="29">
        <v>2.3197000000000001</v>
      </c>
      <c r="C11" s="1">
        <v>1.19695321001088</v>
      </c>
      <c r="D11" s="5">
        <f t="shared" si="0"/>
        <v>2.7765723612622382E-2</v>
      </c>
    </row>
    <row r="12" spans="1:4" x14ac:dyDescent="0.25">
      <c r="A12" s="2" t="s">
        <v>14</v>
      </c>
      <c r="B12" s="29">
        <v>0.25009999999999999</v>
      </c>
      <c r="C12" s="1">
        <v>-9.9703264094955397</v>
      </c>
      <c r="D12" s="5">
        <f t="shared" si="0"/>
        <v>-2.4935786350148342E-2</v>
      </c>
    </row>
    <row r="13" spans="1:4" x14ac:dyDescent="0.25">
      <c r="A13" s="2" t="s">
        <v>15</v>
      </c>
      <c r="B13" s="29">
        <v>1.68</v>
      </c>
      <c r="C13" s="1">
        <v>6.2706270627062697</v>
      </c>
      <c r="D13" s="5">
        <f t="shared" si="0"/>
        <v>0.10534653465346533</v>
      </c>
    </row>
    <row r="14" spans="1:4" x14ac:dyDescent="0.25">
      <c r="A14" s="2" t="s">
        <v>16</v>
      </c>
      <c r="B14" s="29">
        <v>0.76490000000000002</v>
      </c>
      <c r="C14" s="1">
        <v>0.11074197120708699</v>
      </c>
      <c r="D14" s="5">
        <f t="shared" si="0"/>
        <v>8.4706533776300846E-4</v>
      </c>
    </row>
    <row r="15" spans="1:4" x14ac:dyDescent="0.25">
      <c r="A15" s="2" t="s">
        <v>17</v>
      </c>
      <c r="B15" s="29">
        <v>0.32</v>
      </c>
      <c r="C15" s="1">
        <v>-9.9902534113060408</v>
      </c>
      <c r="D15" s="5">
        <f t="shared" si="0"/>
        <v>-3.1968810916179334E-2</v>
      </c>
    </row>
    <row r="16" spans="1:4" x14ac:dyDescent="0.25">
      <c r="A16" s="2" t="s">
        <v>18</v>
      </c>
      <c r="B16" s="29">
        <v>0.14180000000000001</v>
      </c>
      <c r="C16" s="1">
        <v>2.0543806646525602</v>
      </c>
      <c r="D16" s="5">
        <f t="shared" si="0"/>
        <v>2.9131117824773307E-3</v>
      </c>
    </row>
    <row r="17" spans="1:6" x14ac:dyDescent="0.25">
      <c r="A17" s="2" t="s">
        <v>19</v>
      </c>
      <c r="B17" s="29">
        <v>0.11509999999999999</v>
      </c>
      <c r="C17" s="1">
        <v>-3.3389926428975598</v>
      </c>
      <c r="D17" s="5">
        <f t="shared" si="0"/>
        <v>-3.843180531975091E-3</v>
      </c>
    </row>
    <row r="18" spans="1:6" x14ac:dyDescent="0.25">
      <c r="A18" s="2" t="s">
        <v>20</v>
      </c>
      <c r="B18" s="29">
        <v>3.7999999999999999E-2</v>
      </c>
      <c r="C18" s="1">
        <v>-4.3156596794081299</v>
      </c>
      <c r="D18" s="5">
        <f t="shared" si="0"/>
        <v>-1.6399506781750895E-3</v>
      </c>
    </row>
    <row r="19" spans="1:6" x14ac:dyDescent="0.25">
      <c r="A19" s="2" t="s">
        <v>104</v>
      </c>
      <c r="B19" s="29">
        <v>0.29849999999999999</v>
      </c>
      <c r="C19" s="1">
        <v>-5.9838895281933198</v>
      </c>
      <c r="D19" s="5">
        <f t="shared" si="0"/>
        <v>-1.7861910241657061E-2</v>
      </c>
    </row>
    <row r="20" spans="1:6" x14ac:dyDescent="0.25">
      <c r="A20" s="2" t="s">
        <v>21</v>
      </c>
      <c r="B20" s="29">
        <v>0.14580000000000001</v>
      </c>
      <c r="C20" s="1">
        <v>-8.18128310771041</v>
      </c>
      <c r="D20" s="5">
        <f t="shared" si="0"/>
        <v>-1.1928310771041778E-2</v>
      </c>
    </row>
    <row r="21" spans="1:6" x14ac:dyDescent="0.25">
      <c r="A21" s="2" t="s">
        <v>22</v>
      </c>
      <c r="B21" s="29">
        <v>4.59</v>
      </c>
      <c r="C21" s="1">
        <v>1.72</v>
      </c>
      <c r="D21" s="5">
        <f t="shared" si="0"/>
        <v>7.8948000000000004E-2</v>
      </c>
    </row>
    <row r="22" spans="1:6" x14ac:dyDescent="0.25">
      <c r="A22" s="2" t="s">
        <v>23</v>
      </c>
      <c r="B22" s="29">
        <v>1.0200000000000001E-2</v>
      </c>
      <c r="C22" s="1">
        <v>2.64</v>
      </c>
      <c r="D22" s="5">
        <f t="shared" si="0"/>
        <v>2.6928000000000005E-4</v>
      </c>
    </row>
    <row r="23" spans="1:6" x14ac:dyDescent="0.25">
      <c r="A23" s="3" t="s">
        <v>24</v>
      </c>
      <c r="B23" s="3">
        <f>B2+B3+B4+B5+B6+B7+B8+B9+B10+B11+B12+B14+B15+B16+B17+B18+B20+B21+B22+B13+B19</f>
        <v>85.682599999999994</v>
      </c>
      <c r="C23" s="3"/>
      <c r="D23" s="4">
        <f>D2+D3+D4+D5+D6+D7+D8+D9+D10+D11+D12+D14+D15+D16+D17+D18+D20+D21+D22+D13+D19</f>
        <v>1.4318770434601902</v>
      </c>
    </row>
    <row r="24" spans="1:6" x14ac:dyDescent="0.25">
      <c r="A24" s="3"/>
      <c r="B24" s="3"/>
      <c r="C24" s="3"/>
      <c r="D24" s="4"/>
    </row>
    <row r="25" spans="1:6" x14ac:dyDescent="0.25">
      <c r="A25" s="12"/>
      <c r="B25" s="3"/>
      <c r="C25" s="3"/>
      <c r="D25" s="4"/>
    </row>
    <row r="27" spans="1:6" x14ac:dyDescent="0.25">
      <c r="C27" s="3"/>
    </row>
    <row r="28" spans="1:6" x14ac:dyDescent="0.25">
      <c r="C28" s="2"/>
      <c r="D28" s="2"/>
      <c r="E28" s="2"/>
    </row>
    <row r="29" spans="1:6" x14ac:dyDescent="0.25">
      <c r="A29" s="27"/>
      <c r="B29" s="27"/>
      <c r="C29" s="2"/>
      <c r="D29" s="2"/>
      <c r="E29" s="13"/>
    </row>
    <row r="30" spans="1:6" x14ac:dyDescent="0.25">
      <c r="A30" s="27"/>
      <c r="B30" s="27"/>
      <c r="C30" s="7"/>
      <c r="D30" s="15"/>
    </row>
    <row r="31" spans="1:6" x14ac:dyDescent="0.25">
      <c r="A31" s="3"/>
      <c r="B31" s="28"/>
      <c r="C31" s="28"/>
      <c r="D31" s="16"/>
      <c r="E31" s="3"/>
      <c r="F31" s="3"/>
    </row>
    <row r="32" spans="1:6" x14ac:dyDescent="0.25">
      <c r="A32" s="14"/>
      <c r="B32" s="27"/>
      <c r="C32" s="27"/>
      <c r="D32" s="21"/>
      <c r="E32" s="17"/>
      <c r="F32" s="20"/>
    </row>
    <row r="33" spans="1:6" x14ac:dyDescent="0.25">
      <c r="A33" s="14"/>
      <c r="B33" s="27"/>
      <c r="C33" s="27"/>
      <c r="D33" s="21"/>
      <c r="E33" s="18"/>
      <c r="F33" s="20"/>
    </row>
    <row r="34" spans="1:6" x14ac:dyDescent="0.25">
      <c r="A34" s="14"/>
      <c r="B34" s="27"/>
      <c r="C34" s="27"/>
      <c r="D34" s="21"/>
      <c r="E34" s="18"/>
      <c r="F34" s="20"/>
    </row>
    <row r="35" spans="1:6" x14ac:dyDescent="0.25">
      <c r="A35" s="14"/>
      <c r="B35" s="27"/>
      <c r="C35" s="27"/>
      <c r="D35" s="21"/>
      <c r="E35" s="18"/>
      <c r="F35" s="20"/>
    </row>
    <row r="36" spans="1:6" x14ac:dyDescent="0.25">
      <c r="A36" s="14"/>
      <c r="B36" s="27"/>
      <c r="C36" s="27"/>
      <c r="D36" s="21"/>
      <c r="E36" s="18"/>
      <c r="F36" s="20"/>
    </row>
    <row r="37" spans="1:6" x14ac:dyDescent="0.25">
      <c r="A37" s="14"/>
      <c r="B37" s="27"/>
      <c r="C37" s="27"/>
      <c r="D37" s="21"/>
      <c r="E37" s="18"/>
      <c r="F37" s="20"/>
    </row>
    <row r="38" spans="1:6" x14ac:dyDescent="0.25">
      <c r="A38" s="14"/>
      <c r="B38" s="27"/>
      <c r="C38" s="27"/>
      <c r="D38" s="21"/>
      <c r="E38" s="18"/>
      <c r="F38" s="20"/>
    </row>
    <row r="39" spans="1:6" x14ac:dyDescent="0.25">
      <c r="A39" s="14"/>
      <c r="B39" s="27"/>
      <c r="C39" s="27"/>
      <c r="D39" s="21"/>
      <c r="E39" s="18"/>
      <c r="F39" s="20"/>
    </row>
    <row r="40" spans="1:6" x14ac:dyDescent="0.25">
      <c r="A40" s="14"/>
      <c r="B40" s="27"/>
      <c r="C40" s="27"/>
      <c r="D40" s="21"/>
      <c r="E40" s="18"/>
      <c r="F40" s="20"/>
    </row>
    <row r="41" spans="1:6" x14ac:dyDescent="0.25">
      <c r="A41" s="14"/>
      <c r="B41" s="27"/>
      <c r="C41" s="27"/>
      <c r="D41" s="21"/>
      <c r="E41" s="18"/>
      <c r="F41" s="20"/>
    </row>
    <row r="42" spans="1:6" x14ac:dyDescent="0.25">
      <c r="A42" s="14"/>
      <c r="B42" s="27"/>
      <c r="C42" s="27"/>
      <c r="D42" s="21"/>
      <c r="E42" s="18"/>
      <c r="F42" s="20"/>
    </row>
    <row r="43" spans="1:6" x14ac:dyDescent="0.25">
      <c r="A43" s="14"/>
      <c r="B43" s="27"/>
      <c r="C43" s="27"/>
      <c r="D43" s="21"/>
      <c r="E43" s="18"/>
      <c r="F43" s="20"/>
    </row>
    <row r="44" spans="1:6" x14ac:dyDescent="0.25">
      <c r="A44" s="14"/>
      <c r="B44" s="27"/>
      <c r="C44" s="27"/>
      <c r="D44" s="21"/>
      <c r="E44" s="18"/>
      <c r="F44" s="20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"/>
  <sheetViews>
    <sheetView workbookViewId="0">
      <selection activeCell="B2" sqref="B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4" t="s">
        <v>0</v>
      </c>
      <c r="B1" s="24" t="s">
        <v>25</v>
      </c>
      <c r="C1" s="25" t="s">
        <v>2</v>
      </c>
      <c r="D1" s="25" t="s">
        <v>3</v>
      </c>
    </row>
    <row r="2" spans="1:4" x14ac:dyDescent="0.25">
      <c r="A2" s="2" t="s">
        <v>26</v>
      </c>
      <c r="B2" s="2">
        <v>12.08</v>
      </c>
      <c r="C2" s="22">
        <v>-9.9850968703427707</v>
      </c>
      <c r="D2" s="2">
        <f>B2*C2/100</f>
        <v>-1.2061997019374067</v>
      </c>
    </row>
    <row r="3" spans="1:4" x14ac:dyDescent="0.25">
      <c r="A3" s="2" t="s">
        <v>27</v>
      </c>
      <c r="B3" s="2">
        <v>7.68</v>
      </c>
      <c r="C3" s="22">
        <v>-9.99170812603648</v>
      </c>
      <c r="D3" s="2">
        <f t="shared" ref="D3:D26" si="0">B3*C3/100</f>
        <v>-0.76736318407960169</v>
      </c>
    </row>
    <row r="4" spans="1:4" x14ac:dyDescent="0.25">
      <c r="A4" s="2" t="s">
        <v>28</v>
      </c>
      <c r="B4" s="2">
        <v>24</v>
      </c>
      <c r="C4" s="22">
        <v>-9.9639855942376894</v>
      </c>
      <c r="D4" s="2">
        <f t="shared" si="0"/>
        <v>-2.3913565426170451</v>
      </c>
    </row>
    <row r="5" spans="1:4" x14ac:dyDescent="0.25">
      <c r="A5" s="2" t="s">
        <v>29</v>
      </c>
      <c r="B5" s="2">
        <v>12.31</v>
      </c>
      <c r="C5" s="22">
        <v>-9.9522292993630508</v>
      </c>
      <c r="D5" s="2">
        <f t="shared" si="0"/>
        <v>-1.2251194267515917</v>
      </c>
    </row>
    <row r="6" spans="1:4" x14ac:dyDescent="0.25">
      <c r="A6" s="2" t="s">
        <v>14</v>
      </c>
      <c r="B6" s="2">
        <v>4.0199999999999996</v>
      </c>
      <c r="C6" s="22">
        <v>-9.9703264094955397</v>
      </c>
      <c r="D6" s="2">
        <f t="shared" si="0"/>
        <v>-0.40080712166172061</v>
      </c>
    </row>
    <row r="7" spans="1:4" x14ac:dyDescent="0.25">
      <c r="A7" s="2" t="s">
        <v>5</v>
      </c>
      <c r="B7" s="2">
        <v>4.49</v>
      </c>
      <c r="C7" s="22">
        <v>5.2378664103796204</v>
      </c>
      <c r="D7" s="2">
        <f t="shared" si="0"/>
        <v>0.23518020182604499</v>
      </c>
    </row>
    <row r="8" spans="1:4" x14ac:dyDescent="0.25">
      <c r="A8" s="2" t="s">
        <v>30</v>
      </c>
      <c r="B8" s="2">
        <v>5.63</v>
      </c>
      <c r="C8" s="22">
        <v>-1.0705289672544001</v>
      </c>
      <c r="D8" s="2">
        <f t="shared" si="0"/>
        <v>-6.027078085642272E-2</v>
      </c>
    </row>
    <row r="9" spans="1:4" x14ac:dyDescent="0.25">
      <c r="A9" s="2" t="s">
        <v>31</v>
      </c>
      <c r="B9" s="2">
        <v>2.82</v>
      </c>
      <c r="C9" s="22">
        <v>-3.4205231388329902</v>
      </c>
      <c r="D9" s="2">
        <f t="shared" si="0"/>
        <v>-9.6458752515090326E-2</v>
      </c>
    </row>
    <row r="10" spans="1:4" x14ac:dyDescent="0.25">
      <c r="A10" s="2" t="s">
        <v>10</v>
      </c>
      <c r="B10" s="2">
        <v>2.75</v>
      </c>
      <c r="C10" s="22">
        <v>1.3123359580052401</v>
      </c>
      <c r="D10" s="2">
        <f t="shared" si="0"/>
        <v>3.6089238845144103E-2</v>
      </c>
    </row>
    <row r="11" spans="1:4" x14ac:dyDescent="0.25">
      <c r="A11" s="2" t="s">
        <v>32</v>
      </c>
      <c r="B11" s="2">
        <v>1.89</v>
      </c>
      <c r="C11" s="22">
        <v>-1.187648456057</v>
      </c>
      <c r="D11" s="2">
        <f t="shared" si="0"/>
        <v>-2.2446555819477298E-2</v>
      </c>
    </row>
    <row r="12" spans="1:4" x14ac:dyDescent="0.25">
      <c r="A12" s="2" t="s">
        <v>33</v>
      </c>
      <c r="B12" s="2">
        <v>1.1100000000000001</v>
      </c>
      <c r="C12" s="22">
        <v>-5.9024807527801499</v>
      </c>
      <c r="D12" s="2">
        <f t="shared" si="0"/>
        <v>-6.5517536355859662E-2</v>
      </c>
    </row>
    <row r="13" spans="1:4" x14ac:dyDescent="0.25">
      <c r="A13" s="2" t="s">
        <v>21</v>
      </c>
      <c r="B13" s="2">
        <v>2.25</v>
      </c>
      <c r="C13" s="22">
        <v>-8.18128310771041</v>
      </c>
      <c r="D13" s="2">
        <f t="shared" si="0"/>
        <v>-0.18407886992348424</v>
      </c>
    </row>
    <row r="14" spans="1:4" x14ac:dyDescent="0.25">
      <c r="A14" s="2" t="s">
        <v>7</v>
      </c>
      <c r="B14" s="2">
        <v>1.89</v>
      </c>
      <c r="C14" s="22">
        <v>-9.9682539682539595</v>
      </c>
      <c r="D14" s="2">
        <f t="shared" si="0"/>
        <v>-0.18839999999999982</v>
      </c>
    </row>
    <row r="15" spans="1:4" x14ac:dyDescent="0.25">
      <c r="A15" s="2" t="s">
        <v>11</v>
      </c>
      <c r="B15" s="2">
        <v>0.66</v>
      </c>
      <c r="C15" s="22">
        <v>0.29359953024075103</v>
      </c>
      <c r="D15" s="2">
        <f t="shared" si="0"/>
        <v>1.9377568995889568E-3</v>
      </c>
    </row>
    <row r="16" spans="1:4" x14ac:dyDescent="0.25">
      <c r="A16" s="2" t="s">
        <v>20</v>
      </c>
      <c r="B16" s="2">
        <v>0.99</v>
      </c>
      <c r="C16" s="22">
        <v>-4.3156596794081299</v>
      </c>
      <c r="D16" s="2">
        <f t="shared" si="0"/>
        <v>-4.2725030826140487E-2</v>
      </c>
    </row>
    <row r="17" spans="1:4" x14ac:dyDescent="0.25">
      <c r="A17" s="2" t="s">
        <v>34</v>
      </c>
      <c r="B17" s="2">
        <v>0.38</v>
      </c>
      <c r="C17" s="22">
        <v>-6.3157894736842097</v>
      </c>
      <c r="D17" s="2">
        <f t="shared" si="0"/>
        <v>-2.4E-2</v>
      </c>
    </row>
    <row r="18" spans="1:4" x14ac:dyDescent="0.25">
      <c r="A18" s="2" t="s">
        <v>35</v>
      </c>
      <c r="B18" s="2">
        <v>0.13</v>
      </c>
      <c r="C18" s="22">
        <v>-4.1666666666666599</v>
      </c>
      <c r="D18" s="2">
        <f t="shared" si="0"/>
        <v>-5.4166666666666582E-3</v>
      </c>
    </row>
    <row r="19" spans="1:4" x14ac:dyDescent="0.25">
      <c r="A19" s="2" t="s">
        <v>9</v>
      </c>
      <c r="B19" s="2">
        <v>1.64</v>
      </c>
      <c r="C19" s="22">
        <v>6.8580542264752697</v>
      </c>
      <c r="D19" s="2">
        <f t="shared" si="0"/>
        <v>0.11247208931419442</v>
      </c>
    </row>
    <row r="20" spans="1:4" x14ac:dyDescent="0.25">
      <c r="A20" s="2" t="s">
        <v>36</v>
      </c>
      <c r="B20" s="2">
        <v>7.0000000000000007E-2</v>
      </c>
      <c r="C20" s="22">
        <v>2.17755443886097</v>
      </c>
      <c r="D20" s="2">
        <f t="shared" si="0"/>
        <v>1.5242881072026792E-3</v>
      </c>
    </row>
    <row r="21" spans="1:4" x14ac:dyDescent="0.25">
      <c r="A21" s="2" t="s">
        <v>37</v>
      </c>
      <c r="B21" s="2">
        <v>0.04</v>
      </c>
      <c r="C21" s="22">
        <v>-6.6918714555765604</v>
      </c>
      <c r="D21" s="2">
        <f t="shared" si="0"/>
        <v>-2.676748582230624E-3</v>
      </c>
    </row>
    <row r="22" spans="1:4" x14ac:dyDescent="0.25">
      <c r="A22" s="2" t="s">
        <v>38</v>
      </c>
      <c r="B22" s="2">
        <v>7.0000000000000007E-2</v>
      </c>
      <c r="C22" s="22">
        <v>7.7339520494972905E-2</v>
      </c>
      <c r="D22" s="2">
        <f t="shared" si="0"/>
        <v>5.4137664346481033E-5</v>
      </c>
    </row>
    <row r="23" spans="1:4" x14ac:dyDescent="0.25">
      <c r="A23" s="2" t="s">
        <v>39</v>
      </c>
      <c r="B23" s="2">
        <v>10.79</v>
      </c>
      <c r="C23" s="22">
        <v>-9.2799999999999994</v>
      </c>
      <c r="D23" s="2">
        <f t="shared" si="0"/>
        <v>-1.0013119999999998</v>
      </c>
    </row>
    <row r="24" spans="1:4" x14ac:dyDescent="0.25">
      <c r="A24" s="2" t="s">
        <v>40</v>
      </c>
      <c r="B24" s="2">
        <v>9.2100000000000009</v>
      </c>
      <c r="C24" s="22">
        <v>-9.6999999999999993</v>
      </c>
      <c r="D24" s="2">
        <f t="shared" si="0"/>
        <v>-0.89337</v>
      </c>
    </row>
    <row r="25" spans="1:4" x14ac:dyDescent="0.25">
      <c r="A25" s="2" t="s">
        <v>41</v>
      </c>
      <c r="B25" s="2">
        <v>1.66</v>
      </c>
      <c r="C25" s="1">
        <v>0.14000000000000001</v>
      </c>
      <c r="D25" s="2">
        <f t="shared" si="0"/>
        <v>2.3240000000000001E-3</v>
      </c>
    </row>
    <row r="26" spans="1:4" x14ac:dyDescent="0.25">
      <c r="A26" s="2" t="s">
        <v>42</v>
      </c>
      <c r="B26" s="2">
        <v>0.02</v>
      </c>
      <c r="C26" s="1">
        <v>-6.38</v>
      </c>
      <c r="D26" s="2">
        <f t="shared" si="0"/>
        <v>-1.276E-3</v>
      </c>
    </row>
    <row r="27" spans="1:4" x14ac:dyDescent="0.25">
      <c r="A27" s="10" t="s">
        <v>24</v>
      </c>
      <c r="B27" s="3">
        <f>SUM(B2:B26)</f>
        <v>108.57999999999997</v>
      </c>
      <c r="D27" s="4">
        <f>SUM(D2:D26)</f>
        <v>-8.1892132059362179</v>
      </c>
    </row>
    <row r="28" spans="1:4" x14ac:dyDescent="0.25">
      <c r="A28" s="2"/>
      <c r="B28" s="2"/>
      <c r="C28" s="6"/>
      <c r="D28" s="2"/>
    </row>
    <row r="29" spans="1:4" x14ac:dyDescent="0.25">
      <c r="A29" s="2"/>
      <c r="B29" s="2"/>
      <c r="C29" s="6"/>
      <c r="D29" s="2"/>
    </row>
    <row r="30" spans="1:4" x14ac:dyDescent="0.25">
      <c r="A30" s="2"/>
      <c r="B30" s="2"/>
      <c r="C30" s="6"/>
      <c r="D30" s="2"/>
    </row>
    <row r="31" spans="1:4" x14ac:dyDescent="0.25">
      <c r="A31" s="2"/>
      <c r="B31" s="2"/>
      <c r="C31" s="6"/>
      <c r="D31" s="2"/>
    </row>
    <row r="32" spans="1:4" x14ac:dyDescent="0.25">
      <c r="A32" s="2"/>
      <c r="B32" s="2"/>
      <c r="C32" s="6"/>
      <c r="D32" s="2"/>
    </row>
    <row r="33" spans="1:5" x14ac:dyDescent="0.25">
      <c r="A33" s="2"/>
      <c r="B33" s="9"/>
      <c r="C33" s="11"/>
      <c r="D33" s="2"/>
    </row>
    <row r="34" spans="1:5" x14ac:dyDescent="0.25">
      <c r="A34" s="2"/>
      <c r="B34" s="2"/>
      <c r="C34" s="6"/>
      <c r="D34" s="2"/>
    </row>
    <row r="35" spans="1:5" x14ac:dyDescent="0.25">
      <c r="A35" s="2"/>
      <c r="B35" s="2"/>
      <c r="C35" s="6"/>
      <c r="D35" s="2"/>
    </row>
    <row r="36" spans="1:5" x14ac:dyDescent="0.25">
      <c r="A36" s="2"/>
      <c r="B36" s="2"/>
      <c r="C36" s="6"/>
      <c r="D36" s="2"/>
    </row>
    <row r="37" spans="1:5" x14ac:dyDescent="0.25">
      <c r="A37" s="2"/>
      <c r="B37" s="2"/>
      <c r="C37" s="6"/>
      <c r="D37" s="2"/>
    </row>
    <row r="38" spans="1:5" x14ac:dyDescent="0.25">
      <c r="A38" s="2"/>
      <c r="B38" s="2"/>
      <c r="C38" s="6"/>
      <c r="D38" s="2"/>
    </row>
    <row r="39" spans="1:5" x14ac:dyDescent="0.25">
      <c r="A39" s="2"/>
      <c r="B39" s="2"/>
      <c r="C39" s="6"/>
      <c r="D39" s="2"/>
    </row>
    <row r="40" spans="1:5" x14ac:dyDescent="0.25">
      <c r="A40" s="2"/>
      <c r="B40" s="2"/>
      <c r="C40" s="6"/>
      <c r="D40" s="2"/>
    </row>
    <row r="41" spans="1:5" x14ac:dyDescent="0.25">
      <c r="A41" s="2"/>
      <c r="B41" s="2"/>
      <c r="C41" s="2"/>
      <c r="D41" s="2"/>
    </row>
    <row r="42" spans="1:5" x14ac:dyDescent="0.25">
      <c r="A42" s="2"/>
      <c r="B42" s="2"/>
      <c r="C42" s="2"/>
      <c r="D42" s="2"/>
    </row>
    <row r="43" spans="1:5" x14ac:dyDescent="0.25">
      <c r="A43" s="2"/>
      <c r="B43" s="2"/>
      <c r="C43" s="2"/>
      <c r="D43" s="2"/>
    </row>
    <row r="44" spans="1:5" x14ac:dyDescent="0.25">
      <c r="A44" s="10"/>
      <c r="B44" s="3"/>
      <c r="D44" s="4"/>
    </row>
    <row r="47" spans="1:5" x14ac:dyDescent="0.25">
      <c r="C47" s="3"/>
    </row>
    <row r="48" spans="1:5" x14ac:dyDescent="0.25">
      <c r="C48" s="2"/>
      <c r="D48" s="2"/>
      <c r="E48" s="2"/>
    </row>
    <row r="49" spans="1:6" x14ac:dyDescent="0.25">
      <c r="A49" s="27"/>
      <c r="B49" s="27"/>
      <c r="C49" s="2"/>
      <c r="D49" s="2"/>
      <c r="E49" s="13"/>
    </row>
    <row r="50" spans="1:6" x14ac:dyDescent="0.25">
      <c r="A50" s="27"/>
      <c r="B50" s="27"/>
      <c r="C50" s="7"/>
      <c r="D50" s="7"/>
    </row>
    <row r="55" spans="1:6" x14ac:dyDescent="0.25">
      <c r="A55" s="3"/>
      <c r="B55" s="28"/>
      <c r="C55" s="28"/>
      <c r="D55" s="16"/>
      <c r="E55" s="3"/>
      <c r="F55" s="3"/>
    </row>
    <row r="56" spans="1:6" x14ac:dyDescent="0.25">
      <c r="A56" s="14"/>
      <c r="B56" s="27"/>
      <c r="C56" s="27"/>
      <c r="D56" s="17"/>
      <c r="E56" s="17"/>
      <c r="F56" s="20"/>
    </row>
    <row r="57" spans="1:6" x14ac:dyDescent="0.25">
      <c r="A57" s="14"/>
      <c r="B57" s="27"/>
      <c r="C57" s="27"/>
      <c r="D57" s="17"/>
      <c r="E57" s="17"/>
      <c r="F57" s="20"/>
    </row>
    <row r="58" spans="1:6" x14ac:dyDescent="0.25">
      <c r="A58" s="14"/>
      <c r="B58" s="27"/>
      <c r="C58" s="27"/>
      <c r="D58" s="17"/>
      <c r="E58" s="17"/>
      <c r="F58" s="20"/>
    </row>
    <row r="59" spans="1:6" x14ac:dyDescent="0.25">
      <c r="A59" s="14"/>
      <c r="B59" s="27"/>
      <c r="C59" s="27"/>
      <c r="D59" s="17"/>
      <c r="E59" s="17"/>
      <c r="F59" s="20"/>
    </row>
    <row r="60" spans="1:6" x14ac:dyDescent="0.25">
      <c r="A60" s="14"/>
      <c r="B60" s="27"/>
      <c r="C60" s="27"/>
      <c r="D60" s="17"/>
      <c r="E60" s="17"/>
      <c r="F60" s="20"/>
    </row>
    <row r="61" spans="1:6" x14ac:dyDescent="0.25">
      <c r="A61" s="14"/>
      <c r="B61" s="27"/>
      <c r="C61" s="27"/>
      <c r="D61" s="17"/>
      <c r="E61" s="17"/>
      <c r="F61" s="20"/>
    </row>
    <row r="62" spans="1:6" x14ac:dyDescent="0.25">
      <c r="A62" s="14"/>
      <c r="B62" s="27"/>
      <c r="C62" s="27"/>
      <c r="D62" s="17"/>
      <c r="E62" s="17"/>
      <c r="F62" s="20"/>
    </row>
    <row r="63" spans="1:6" x14ac:dyDescent="0.25">
      <c r="A63" s="14"/>
      <c r="B63" s="27"/>
      <c r="C63" s="27"/>
      <c r="D63" s="17"/>
      <c r="E63" s="17"/>
      <c r="F63" s="20"/>
    </row>
    <row r="64" spans="1:6" x14ac:dyDescent="0.25">
      <c r="A64" s="14"/>
      <c r="B64" s="27"/>
      <c r="C64" s="27"/>
      <c r="D64" s="17"/>
      <c r="E64" s="17"/>
      <c r="F64" s="20"/>
    </row>
    <row r="65" spans="1:6" x14ac:dyDescent="0.25">
      <c r="A65" s="14"/>
      <c r="B65" s="27"/>
      <c r="C65" s="27"/>
      <c r="D65" s="17"/>
      <c r="E65" s="17"/>
      <c r="F65" s="20"/>
    </row>
    <row r="66" spans="1:6" x14ac:dyDescent="0.25">
      <c r="A66" s="14"/>
      <c r="B66" s="27"/>
      <c r="C66" s="27"/>
      <c r="D66" s="17"/>
      <c r="E66" s="17"/>
      <c r="F66" s="20"/>
    </row>
    <row r="67" spans="1:6" x14ac:dyDescent="0.25">
      <c r="A67" s="14"/>
      <c r="B67" s="27"/>
      <c r="C67" s="27"/>
      <c r="D67" s="17"/>
      <c r="E67" s="17"/>
      <c r="F67" s="20"/>
    </row>
    <row r="68" spans="1:6" x14ac:dyDescent="0.25">
      <c r="A68" s="14"/>
      <c r="B68" s="27"/>
      <c r="C68" s="27"/>
      <c r="D68" s="17"/>
      <c r="E68" s="17"/>
      <c r="F68" s="20"/>
    </row>
    <row r="69" spans="1:6" x14ac:dyDescent="0.25">
      <c r="A69" s="14"/>
      <c r="B69" s="27"/>
      <c r="C69" s="27"/>
      <c r="D69" s="15"/>
      <c r="E69" s="18"/>
      <c r="F69" s="20"/>
    </row>
    <row r="70" spans="1:6" x14ac:dyDescent="0.25">
      <c r="A70" s="14"/>
      <c r="B70" s="27"/>
      <c r="C70" s="27"/>
      <c r="D70" s="15"/>
      <c r="E70" s="18"/>
      <c r="F70" s="20"/>
    </row>
    <row r="71" spans="1:6" x14ac:dyDescent="0.25">
      <c r="A71" s="14"/>
      <c r="B71" s="27"/>
      <c r="C71" s="27"/>
      <c r="D71" s="15"/>
      <c r="E71" s="18"/>
      <c r="F71" s="20"/>
    </row>
    <row r="72" spans="1:6" x14ac:dyDescent="0.25">
      <c r="A72" s="14"/>
      <c r="B72" s="27"/>
      <c r="C72" s="27"/>
      <c r="D72" s="15"/>
      <c r="E72" s="18"/>
      <c r="F72" s="20"/>
    </row>
    <row r="73" spans="1:6" x14ac:dyDescent="0.25">
      <c r="A73" s="14"/>
      <c r="B73" s="27"/>
      <c r="C73" s="27"/>
      <c r="D73" s="15"/>
      <c r="E73" s="18"/>
      <c r="F73" s="20"/>
    </row>
    <row r="74" spans="1:6" x14ac:dyDescent="0.25">
      <c r="A74" s="14"/>
      <c r="B74" s="27"/>
      <c r="C74" s="27"/>
      <c r="D74" s="15"/>
      <c r="E74" s="18"/>
      <c r="F74" s="20"/>
    </row>
    <row r="75" spans="1:6" x14ac:dyDescent="0.25">
      <c r="A75" s="14"/>
      <c r="B75" s="27"/>
      <c r="C75" s="27"/>
      <c r="D75" s="15"/>
      <c r="E75" s="18"/>
      <c r="F75" s="20"/>
    </row>
    <row r="76" spans="1:6" x14ac:dyDescent="0.25">
      <c r="A76" s="14"/>
      <c r="B76" s="27"/>
      <c r="C76" s="27"/>
      <c r="D76" s="15"/>
      <c r="E76" s="18"/>
      <c r="F76" s="20"/>
    </row>
    <row r="77" spans="1:6" x14ac:dyDescent="0.25">
      <c r="A77" s="14"/>
      <c r="B77" s="27"/>
      <c r="C77" s="27"/>
      <c r="D77" s="15"/>
      <c r="E77" s="18"/>
      <c r="F77" s="20"/>
    </row>
    <row r="78" spans="1:6" x14ac:dyDescent="0.25">
      <c r="A78" s="14"/>
      <c r="B78" s="27"/>
      <c r="C78" s="27"/>
      <c r="D78" s="15"/>
      <c r="E78" s="18"/>
      <c r="F78" s="20"/>
    </row>
    <row r="79" spans="1:6" x14ac:dyDescent="0.25">
      <c r="A79" s="14"/>
      <c r="B79" s="27"/>
      <c r="C79" s="27"/>
      <c r="D79" s="15"/>
      <c r="E79" s="18"/>
      <c r="F79" s="20"/>
    </row>
    <row r="80" spans="1:6" x14ac:dyDescent="0.25">
      <c r="A80" s="14"/>
      <c r="B80" s="27"/>
      <c r="C80" s="27"/>
      <c r="D80" s="15"/>
      <c r="E80" s="18"/>
      <c r="F80" s="20"/>
    </row>
    <row r="81" spans="1:6" x14ac:dyDescent="0.25">
      <c r="A81" s="14"/>
      <c r="B81" s="27"/>
      <c r="C81" s="27"/>
      <c r="D81" s="15"/>
      <c r="E81" s="18"/>
      <c r="F81" s="20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1"/>
  <sheetViews>
    <sheetView workbookViewId="0">
      <selection activeCell="B2" sqref="B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4" t="s">
        <v>0</v>
      </c>
      <c r="B1" s="24" t="s">
        <v>1</v>
      </c>
      <c r="C1" s="25" t="s">
        <v>2</v>
      </c>
      <c r="D1" s="25" t="s">
        <v>3</v>
      </c>
    </row>
    <row r="2" spans="1:5" x14ac:dyDescent="0.25">
      <c r="A2" s="2" t="s">
        <v>43</v>
      </c>
      <c r="B2" s="29">
        <v>50.03</v>
      </c>
      <c r="C2" s="6">
        <v>0.43352601156069298</v>
      </c>
      <c r="D2" s="23">
        <f>B2*C2/100</f>
        <v>0.21689306358381469</v>
      </c>
    </row>
    <row r="3" spans="1:5" x14ac:dyDescent="0.25">
      <c r="A3" s="2" t="s">
        <v>44</v>
      </c>
      <c r="B3" s="29">
        <v>2.93</v>
      </c>
      <c r="C3" s="6">
        <v>-0.854700854700854</v>
      </c>
      <c r="D3" s="23">
        <f t="shared" ref="D3:D9" si="0">B3*C3/100</f>
        <v>-2.5042735042735024E-2</v>
      </c>
    </row>
    <row r="4" spans="1:5" x14ac:dyDescent="0.25">
      <c r="A4" s="2" t="s">
        <v>45</v>
      </c>
      <c r="B4" s="29">
        <v>0.2356</v>
      </c>
      <c r="C4" s="6">
        <v>-3.9950829748002401</v>
      </c>
      <c r="D4" s="23">
        <f t="shared" si="0"/>
        <v>-9.4124154886293648E-3</v>
      </c>
    </row>
    <row r="5" spans="1:5" x14ac:dyDescent="0.25">
      <c r="A5" s="2" t="s">
        <v>46</v>
      </c>
      <c r="B5" s="29">
        <v>29.53</v>
      </c>
      <c r="C5" s="2">
        <v>5.9</v>
      </c>
      <c r="D5" s="23">
        <f t="shared" si="0"/>
        <v>1.74227</v>
      </c>
    </row>
    <row r="6" spans="1:5" x14ac:dyDescent="0.25">
      <c r="A6" s="2" t="s">
        <v>47</v>
      </c>
      <c r="B6" s="29">
        <v>5.1985999999999999</v>
      </c>
      <c r="C6" s="2">
        <v>0.12</v>
      </c>
      <c r="D6" s="23">
        <f t="shared" si="0"/>
        <v>6.2383199999999995E-3</v>
      </c>
    </row>
    <row r="7" spans="1:5" x14ac:dyDescent="0.25">
      <c r="A7" s="2" t="s">
        <v>48</v>
      </c>
      <c r="B7" s="29">
        <v>0.25</v>
      </c>
      <c r="C7" s="2">
        <v>1.61</v>
      </c>
      <c r="D7" s="23">
        <f t="shared" si="0"/>
        <v>4.0249999999999999E-3</v>
      </c>
    </row>
    <row r="8" spans="1:5" x14ac:dyDescent="0.25">
      <c r="A8" s="2" t="s">
        <v>49</v>
      </c>
      <c r="B8" s="29">
        <v>0.12770000000000001</v>
      </c>
      <c r="C8" s="2">
        <v>0.11</v>
      </c>
      <c r="D8" s="23">
        <f t="shared" si="0"/>
        <v>1.4047000000000002E-4</v>
      </c>
    </row>
    <row r="9" spans="1:5" x14ac:dyDescent="0.25">
      <c r="A9" s="2" t="s">
        <v>50</v>
      </c>
      <c r="B9" s="29">
        <v>2.9399999999999999E-2</v>
      </c>
      <c r="C9" s="2">
        <v>-0.28999999999999998</v>
      </c>
      <c r="D9" s="23">
        <f t="shared" si="0"/>
        <v>-8.5259999999999993E-5</v>
      </c>
      <c r="E9" s="2"/>
    </row>
    <row r="10" spans="1:5" x14ac:dyDescent="0.25">
      <c r="A10" s="10" t="s">
        <v>24</v>
      </c>
      <c r="B10" s="3">
        <f>B2++B3+B4+B5+B6+B7+B8+B9</f>
        <v>88.331299999999999</v>
      </c>
      <c r="C10" s="2"/>
      <c r="D10" s="4">
        <f>D2+D3+D4+D5+D6+D7+D8+D9</f>
        <v>1.9350264430524502</v>
      </c>
      <c r="E10" s="13"/>
    </row>
    <row r="11" spans="1:5" x14ac:dyDescent="0.25">
      <c r="A11" s="27"/>
      <c r="B11" s="27"/>
      <c r="C11" s="8"/>
      <c r="D11" s="8"/>
    </row>
    <row r="31" spans="1:6" x14ac:dyDescent="0.25">
      <c r="A31" s="3"/>
      <c r="B31" s="28"/>
      <c r="C31" s="28"/>
      <c r="D31" s="16"/>
      <c r="E31" s="3"/>
      <c r="F31" s="3"/>
    </row>
    <row r="32" spans="1:6" x14ac:dyDescent="0.25">
      <c r="A32" s="19"/>
      <c r="B32" s="27"/>
      <c r="C32" s="27"/>
      <c r="D32" s="17"/>
      <c r="E32" s="17"/>
      <c r="F32" s="20"/>
    </row>
    <row r="33" spans="1:6" x14ac:dyDescent="0.25">
      <c r="A33" s="19"/>
      <c r="B33" s="27"/>
      <c r="C33" s="27"/>
      <c r="D33" s="17"/>
      <c r="E33" s="17"/>
      <c r="F33" s="20"/>
    </row>
    <row r="34" spans="1:6" x14ac:dyDescent="0.25">
      <c r="A34" s="19"/>
      <c r="B34" s="27"/>
      <c r="C34" s="27"/>
      <c r="D34" s="17"/>
      <c r="E34" s="17"/>
      <c r="F34" s="20"/>
    </row>
    <row r="35" spans="1:6" x14ac:dyDescent="0.25">
      <c r="A35" s="19"/>
      <c r="B35" s="27"/>
      <c r="C35" s="27"/>
      <c r="D35" s="17"/>
      <c r="E35" s="17"/>
      <c r="F35" s="20"/>
    </row>
    <row r="36" spans="1:6" x14ac:dyDescent="0.25">
      <c r="A36" s="19"/>
      <c r="B36" s="27"/>
      <c r="C36" s="27"/>
      <c r="D36" s="17"/>
      <c r="E36" s="17"/>
      <c r="F36" s="20"/>
    </row>
    <row r="37" spans="1:6" x14ac:dyDescent="0.25">
      <c r="A37" s="19"/>
      <c r="B37" s="27"/>
      <c r="C37" s="27"/>
      <c r="D37" s="17"/>
      <c r="E37" s="17"/>
      <c r="F37" s="20"/>
    </row>
    <row r="38" spans="1:6" x14ac:dyDescent="0.25">
      <c r="A38" s="19"/>
      <c r="B38" s="27"/>
      <c r="C38" s="27"/>
      <c r="D38" s="17"/>
      <c r="E38" s="17"/>
      <c r="F38" s="20"/>
    </row>
    <row r="39" spans="1:6" x14ac:dyDescent="0.25">
      <c r="A39" s="19"/>
      <c r="B39" s="27"/>
      <c r="C39" s="27"/>
      <c r="D39" s="17"/>
      <c r="E39" s="17"/>
      <c r="F39" s="20"/>
    </row>
    <row r="40" spans="1:6" x14ac:dyDescent="0.25">
      <c r="A40" s="19"/>
      <c r="B40" s="27"/>
      <c r="C40" s="27"/>
      <c r="D40" s="17"/>
      <c r="E40" s="17"/>
      <c r="F40" s="20"/>
    </row>
    <row r="41" spans="1:6" x14ac:dyDescent="0.25">
      <c r="A41" s="19"/>
      <c r="B41" s="27"/>
      <c r="C41" s="27"/>
      <c r="D41" s="17"/>
      <c r="E41" s="17"/>
      <c r="F41" s="20"/>
    </row>
    <row r="42" spans="1:6" x14ac:dyDescent="0.25">
      <c r="A42" s="19"/>
      <c r="B42" s="27"/>
      <c r="C42" s="27"/>
      <c r="D42" s="17"/>
      <c r="E42" s="17"/>
      <c r="F42" s="20"/>
    </row>
    <row r="43" spans="1:6" x14ac:dyDescent="0.25">
      <c r="A43" s="19"/>
      <c r="B43" s="27"/>
      <c r="C43" s="27"/>
      <c r="D43" s="17"/>
      <c r="E43" s="17"/>
      <c r="F43" s="20"/>
    </row>
    <row r="44" spans="1:6" x14ac:dyDescent="0.25">
      <c r="A44" s="19"/>
      <c r="B44" s="27"/>
      <c r="C44" s="27"/>
      <c r="D44" s="17"/>
      <c r="E44" s="17"/>
      <c r="F44" s="20"/>
    </row>
    <row r="45" spans="1:6" x14ac:dyDescent="0.25">
      <c r="A45" s="19"/>
      <c r="B45" s="27"/>
      <c r="C45" s="27"/>
      <c r="D45" s="17"/>
      <c r="E45" s="17"/>
      <c r="F45" s="20"/>
    </row>
    <row r="46" spans="1:6" x14ac:dyDescent="0.25">
      <c r="A46" s="19"/>
      <c r="B46" s="27"/>
      <c r="C46" s="27"/>
      <c r="D46" s="17"/>
      <c r="E46" s="17"/>
      <c r="F46" s="20"/>
    </row>
    <row r="47" spans="1:6" x14ac:dyDescent="0.25">
      <c r="A47" s="19"/>
      <c r="B47" s="27"/>
      <c r="C47" s="27"/>
      <c r="D47" s="17"/>
      <c r="E47" s="17"/>
      <c r="F47" s="20"/>
    </row>
    <row r="48" spans="1:6" x14ac:dyDescent="0.25">
      <c r="A48" s="19"/>
      <c r="B48" s="27"/>
      <c r="C48" s="27"/>
      <c r="D48" s="17"/>
      <c r="E48" s="17"/>
      <c r="F48" s="20"/>
    </row>
    <row r="49" spans="1:6" x14ac:dyDescent="0.25">
      <c r="A49" s="19"/>
      <c r="B49" s="27"/>
      <c r="C49" s="27"/>
      <c r="D49" s="17"/>
      <c r="E49" s="17"/>
      <c r="F49" s="20"/>
    </row>
    <row r="50" spans="1:6" x14ac:dyDescent="0.25">
      <c r="A50" s="19"/>
      <c r="B50" s="27"/>
      <c r="C50" s="27"/>
      <c r="D50" s="17"/>
      <c r="E50" s="17"/>
      <c r="F50" s="20"/>
    </row>
    <row r="51" spans="1:6" x14ac:dyDescent="0.25">
      <c r="A51" s="19"/>
      <c r="B51" s="27"/>
      <c r="C51" s="27"/>
      <c r="D51" s="17"/>
      <c r="E51" s="17"/>
      <c r="F51" s="20"/>
    </row>
    <row r="52" spans="1:6" x14ac:dyDescent="0.25">
      <c r="A52" s="19"/>
      <c r="B52" s="27"/>
      <c r="C52" s="27"/>
      <c r="D52" s="17"/>
      <c r="E52" s="17"/>
      <c r="F52" s="20"/>
    </row>
    <row r="53" spans="1:6" x14ac:dyDescent="0.25">
      <c r="A53" s="19"/>
      <c r="B53" s="27"/>
      <c r="C53" s="27"/>
      <c r="D53" s="17"/>
      <c r="E53" s="17"/>
      <c r="F53" s="20"/>
    </row>
    <row r="54" spans="1:6" x14ac:dyDescent="0.25">
      <c r="A54" s="19"/>
      <c r="B54" s="27"/>
      <c r="C54" s="27"/>
      <c r="D54" s="17"/>
      <c r="E54" s="17"/>
      <c r="F54" s="20"/>
    </row>
    <row r="55" spans="1:6" x14ac:dyDescent="0.25">
      <c r="A55" s="19"/>
      <c r="B55" s="27"/>
      <c r="C55" s="27"/>
      <c r="D55" s="17"/>
      <c r="E55" s="17"/>
      <c r="F55" s="20"/>
    </row>
    <row r="56" spans="1:6" x14ac:dyDescent="0.25">
      <c r="A56" s="19"/>
      <c r="B56" s="27"/>
      <c r="C56" s="27"/>
      <c r="D56" s="17"/>
      <c r="E56" s="17"/>
      <c r="F56" s="20"/>
    </row>
    <row r="57" spans="1:6" x14ac:dyDescent="0.25">
      <c r="A57" s="19"/>
      <c r="B57" s="27"/>
      <c r="C57" s="27"/>
      <c r="D57" s="17"/>
      <c r="E57" s="17"/>
      <c r="F57" s="20"/>
    </row>
    <row r="58" spans="1:6" x14ac:dyDescent="0.25">
      <c r="A58" s="19"/>
      <c r="B58" s="27"/>
      <c r="C58" s="27"/>
      <c r="D58" s="17"/>
      <c r="E58" s="17"/>
      <c r="F58" s="20"/>
    </row>
    <row r="59" spans="1:6" x14ac:dyDescent="0.25">
      <c r="A59" s="19"/>
      <c r="B59" s="27"/>
      <c r="C59" s="27"/>
      <c r="D59" s="17"/>
      <c r="E59" s="17"/>
      <c r="F59" s="20"/>
    </row>
    <row r="60" spans="1:6" x14ac:dyDescent="0.25">
      <c r="A60" s="19"/>
      <c r="B60" s="27"/>
      <c r="C60" s="27"/>
      <c r="D60" s="17"/>
      <c r="E60" s="17"/>
      <c r="F60" s="20"/>
    </row>
    <row r="61" spans="1:6" x14ac:dyDescent="0.25">
      <c r="A61" s="19"/>
      <c r="B61" s="27"/>
      <c r="C61" s="27"/>
      <c r="D61" s="17"/>
      <c r="E61" s="17"/>
      <c r="F61" s="20"/>
    </row>
    <row r="62" spans="1:6" x14ac:dyDescent="0.25">
      <c r="A62" s="19"/>
      <c r="B62" s="27"/>
      <c r="C62" s="27"/>
      <c r="D62" s="17"/>
      <c r="E62" s="17"/>
      <c r="F62" s="20"/>
    </row>
    <row r="63" spans="1:6" x14ac:dyDescent="0.25">
      <c r="A63" s="19"/>
      <c r="B63" s="27"/>
      <c r="C63" s="27"/>
      <c r="D63" s="17"/>
      <c r="E63" s="17"/>
      <c r="F63" s="20"/>
    </row>
    <row r="64" spans="1:6" x14ac:dyDescent="0.25">
      <c r="A64" s="19"/>
      <c r="B64" s="27"/>
      <c r="C64" s="27"/>
      <c r="D64" s="17"/>
      <c r="E64" s="17"/>
      <c r="F64" s="20"/>
    </row>
    <row r="65" spans="1:6" x14ac:dyDescent="0.25">
      <c r="A65" s="19"/>
      <c r="B65" s="27"/>
      <c r="C65" s="27"/>
      <c r="D65" s="17"/>
      <c r="E65" s="17"/>
      <c r="F65" s="20"/>
    </row>
    <row r="66" spans="1:6" x14ac:dyDescent="0.25">
      <c r="A66" s="19"/>
      <c r="B66" s="27"/>
      <c r="C66" s="27"/>
      <c r="D66" s="17"/>
      <c r="E66" s="17"/>
      <c r="F66" s="20"/>
    </row>
    <row r="67" spans="1:6" x14ac:dyDescent="0.25">
      <c r="A67" s="19"/>
      <c r="B67" s="27"/>
      <c r="C67" s="27"/>
      <c r="D67" s="17"/>
      <c r="E67" s="17"/>
      <c r="F67" s="20"/>
    </row>
    <row r="68" spans="1:6" x14ac:dyDescent="0.25">
      <c r="A68" s="19"/>
      <c r="B68" s="27"/>
      <c r="C68" s="27"/>
      <c r="D68" s="17"/>
      <c r="E68" s="17"/>
      <c r="F68" s="20"/>
    </row>
    <row r="69" spans="1:6" x14ac:dyDescent="0.25">
      <c r="A69" s="19"/>
      <c r="B69" s="27"/>
      <c r="C69" s="27"/>
      <c r="D69" s="17"/>
      <c r="E69" s="17"/>
      <c r="F69" s="20"/>
    </row>
    <row r="70" spans="1:6" x14ac:dyDescent="0.25">
      <c r="A70" s="19"/>
      <c r="B70" s="27"/>
      <c r="C70" s="27"/>
      <c r="D70" s="17"/>
      <c r="E70" s="17"/>
      <c r="F70" s="20"/>
    </row>
    <row r="71" spans="1:6" x14ac:dyDescent="0.25">
      <c r="A71" s="19"/>
      <c r="B71" s="27"/>
      <c r="C71" s="27"/>
      <c r="D71" s="17"/>
      <c r="E71" s="17"/>
      <c r="F71" s="20"/>
    </row>
    <row r="72" spans="1:6" x14ac:dyDescent="0.25">
      <c r="A72" s="19"/>
      <c r="B72" s="27"/>
      <c r="C72" s="27"/>
      <c r="D72" s="17"/>
      <c r="E72" s="17"/>
      <c r="F72" s="20"/>
    </row>
    <row r="73" spans="1:6" x14ac:dyDescent="0.25">
      <c r="A73" s="19"/>
      <c r="B73" s="27"/>
      <c r="C73" s="27"/>
      <c r="D73" s="17"/>
      <c r="E73" s="17"/>
      <c r="F73" s="20"/>
    </row>
    <row r="74" spans="1:6" x14ac:dyDescent="0.25">
      <c r="A74" s="19"/>
      <c r="B74" s="27"/>
      <c r="C74" s="27"/>
      <c r="D74" s="17"/>
      <c r="E74" s="17"/>
      <c r="F74" s="20"/>
    </row>
    <row r="75" spans="1:6" x14ac:dyDescent="0.25">
      <c r="A75" s="19"/>
      <c r="B75" s="27"/>
      <c r="C75" s="27"/>
      <c r="D75" s="17"/>
      <c r="E75" s="17"/>
      <c r="F75" s="20"/>
    </row>
    <row r="76" spans="1:6" x14ac:dyDescent="0.25">
      <c r="A76" s="19"/>
      <c r="B76" s="27"/>
      <c r="C76" s="27"/>
      <c r="D76" s="17"/>
      <c r="E76" s="17"/>
      <c r="F76" s="20"/>
    </row>
    <row r="77" spans="1:6" x14ac:dyDescent="0.25">
      <c r="A77" s="19"/>
      <c r="B77" s="27"/>
      <c r="C77" s="27"/>
      <c r="D77" s="17"/>
      <c r="E77" s="17"/>
      <c r="F77" s="20"/>
    </row>
    <row r="78" spans="1:6" x14ac:dyDescent="0.25">
      <c r="A78" s="19"/>
      <c r="B78" s="27"/>
      <c r="C78" s="27"/>
      <c r="D78" s="17"/>
      <c r="E78" s="17"/>
      <c r="F78" s="20"/>
    </row>
    <row r="79" spans="1:6" x14ac:dyDescent="0.25">
      <c r="A79" s="19"/>
      <c r="B79" s="27"/>
      <c r="C79" s="27"/>
      <c r="D79" s="17"/>
      <c r="E79" s="17"/>
      <c r="F79" s="20"/>
    </row>
    <row r="80" spans="1:6" x14ac:dyDescent="0.25">
      <c r="A80" s="19"/>
      <c r="B80" s="27"/>
      <c r="C80" s="27"/>
      <c r="D80" s="17"/>
      <c r="E80" s="17"/>
      <c r="F80" s="20"/>
    </row>
    <row r="81" spans="1:6" x14ac:dyDescent="0.25">
      <c r="A81" s="19"/>
      <c r="B81" s="27"/>
      <c r="C81" s="27"/>
      <c r="D81" s="17"/>
      <c r="E81" s="17"/>
      <c r="F81" s="20"/>
    </row>
    <row r="82" spans="1:6" x14ac:dyDescent="0.25">
      <c r="A82" s="19"/>
      <c r="B82" s="27"/>
      <c r="C82" s="27"/>
      <c r="D82" s="17"/>
      <c r="E82" s="17"/>
      <c r="F82" s="20"/>
    </row>
    <row r="83" spans="1:6" x14ac:dyDescent="0.25">
      <c r="A83" s="19"/>
      <c r="B83" s="27"/>
      <c r="C83" s="27"/>
      <c r="D83" s="17"/>
      <c r="E83" s="17"/>
      <c r="F83" s="20"/>
    </row>
    <row r="84" spans="1:6" x14ac:dyDescent="0.25">
      <c r="A84" s="19"/>
      <c r="B84" s="27"/>
      <c r="C84" s="27"/>
      <c r="D84" s="17"/>
      <c r="E84" s="17"/>
      <c r="F84" s="20"/>
    </row>
    <row r="85" spans="1:6" x14ac:dyDescent="0.25">
      <c r="A85" s="19"/>
      <c r="B85" s="27"/>
      <c r="C85" s="27"/>
      <c r="D85" s="17"/>
      <c r="E85" s="17"/>
      <c r="F85" s="20"/>
    </row>
    <row r="86" spans="1:6" x14ac:dyDescent="0.25">
      <c r="A86" s="19"/>
      <c r="B86" s="27"/>
      <c r="C86" s="27"/>
      <c r="D86" s="17"/>
      <c r="E86" s="17"/>
      <c r="F86" s="20"/>
    </row>
    <row r="87" spans="1:6" x14ac:dyDescent="0.25">
      <c r="A87" s="19"/>
      <c r="B87" s="27"/>
      <c r="C87" s="27"/>
      <c r="D87" s="17"/>
      <c r="E87" s="17"/>
      <c r="F87" s="20"/>
    </row>
    <row r="88" spans="1:6" x14ac:dyDescent="0.25">
      <c r="A88" s="19"/>
      <c r="B88" s="27"/>
      <c r="C88" s="27"/>
      <c r="D88" s="17"/>
      <c r="E88" s="17"/>
      <c r="F88" s="20"/>
    </row>
    <row r="89" spans="1:6" x14ac:dyDescent="0.25">
      <c r="A89" s="19"/>
      <c r="B89" s="27"/>
      <c r="C89" s="27"/>
      <c r="D89" s="17"/>
      <c r="E89" s="17"/>
      <c r="F89" s="20"/>
    </row>
    <row r="90" spans="1:6" x14ac:dyDescent="0.25">
      <c r="A90" s="19"/>
      <c r="B90" s="27"/>
      <c r="C90" s="27"/>
      <c r="D90" s="17"/>
      <c r="E90" s="17"/>
      <c r="F90" s="20"/>
    </row>
    <row r="91" spans="1:6" x14ac:dyDescent="0.25">
      <c r="A91" s="19"/>
      <c r="B91" s="27"/>
      <c r="C91" s="27"/>
      <c r="D91" s="17"/>
      <c r="E91" s="17"/>
      <c r="F91" s="20"/>
    </row>
    <row r="92" spans="1:6" x14ac:dyDescent="0.25">
      <c r="A92" s="19"/>
      <c r="B92" s="27"/>
      <c r="C92" s="27"/>
      <c r="D92" s="17"/>
      <c r="E92" s="17"/>
      <c r="F92" s="20"/>
    </row>
    <row r="93" spans="1:6" x14ac:dyDescent="0.25">
      <c r="A93" s="19"/>
      <c r="B93" s="27"/>
      <c r="C93" s="27"/>
      <c r="D93" s="17"/>
      <c r="E93" s="17"/>
      <c r="F93" s="20"/>
    </row>
    <row r="94" spans="1:6" x14ac:dyDescent="0.25">
      <c r="A94" s="19"/>
      <c r="B94" s="27"/>
      <c r="C94" s="27"/>
      <c r="D94" s="17"/>
      <c r="E94" s="17"/>
      <c r="F94" s="20"/>
    </row>
    <row r="95" spans="1:6" x14ac:dyDescent="0.25">
      <c r="A95" s="19"/>
      <c r="B95" s="27"/>
      <c r="C95" s="27"/>
      <c r="D95" s="17"/>
      <c r="E95" s="17"/>
      <c r="F95" s="20"/>
    </row>
    <row r="96" spans="1:6" x14ac:dyDescent="0.25">
      <c r="A96" s="19"/>
      <c r="B96" s="27"/>
      <c r="C96" s="27"/>
      <c r="D96" s="17"/>
      <c r="E96" s="17"/>
      <c r="F96" s="20"/>
    </row>
    <row r="97" spans="1:6" x14ac:dyDescent="0.25">
      <c r="A97" s="19"/>
      <c r="B97" s="27"/>
      <c r="C97" s="27"/>
      <c r="D97" s="17"/>
      <c r="E97" s="17"/>
      <c r="F97" s="20"/>
    </row>
    <row r="98" spans="1:6" x14ac:dyDescent="0.25">
      <c r="A98" s="19"/>
      <c r="B98" s="27"/>
      <c r="C98" s="27"/>
      <c r="D98" s="17"/>
      <c r="E98" s="17"/>
      <c r="F98" s="20"/>
    </row>
    <row r="99" spans="1:6" x14ac:dyDescent="0.25">
      <c r="A99" s="19"/>
      <c r="B99" s="27"/>
      <c r="C99" s="27"/>
      <c r="D99" s="17"/>
      <c r="E99" s="17"/>
      <c r="F99" s="20"/>
    </row>
    <row r="100" spans="1:6" x14ac:dyDescent="0.25">
      <c r="A100" s="19"/>
      <c r="B100" s="27"/>
      <c r="C100" s="27"/>
      <c r="D100" s="17"/>
      <c r="E100" s="17"/>
      <c r="F100" s="20"/>
    </row>
    <row r="101" spans="1:6" x14ac:dyDescent="0.25">
      <c r="A101" s="19"/>
      <c r="B101" s="27"/>
      <c r="C101" s="27"/>
      <c r="D101" s="17"/>
      <c r="E101" s="17"/>
      <c r="F101" s="20"/>
    </row>
    <row r="102" spans="1:6" x14ac:dyDescent="0.25">
      <c r="A102" s="19"/>
      <c r="B102" s="27"/>
      <c r="C102" s="27"/>
      <c r="D102" s="17"/>
      <c r="E102" s="17"/>
      <c r="F102" s="20"/>
    </row>
    <row r="103" spans="1:6" x14ac:dyDescent="0.25">
      <c r="A103" s="19"/>
      <c r="B103" s="27"/>
      <c r="C103" s="27"/>
      <c r="D103" s="17"/>
      <c r="E103" s="17"/>
      <c r="F103" s="20"/>
    </row>
    <row r="104" spans="1:6" x14ac:dyDescent="0.25">
      <c r="A104" s="19"/>
      <c r="B104" s="27"/>
      <c r="C104" s="27"/>
      <c r="D104" s="17"/>
      <c r="E104" s="17"/>
      <c r="F104" s="20"/>
    </row>
    <row r="105" spans="1:6" x14ac:dyDescent="0.25">
      <c r="A105" s="19"/>
      <c r="B105" s="27"/>
      <c r="C105" s="27"/>
      <c r="D105" s="17"/>
      <c r="E105" s="17"/>
      <c r="F105" s="20"/>
    </row>
    <row r="106" spans="1:6" x14ac:dyDescent="0.25">
      <c r="A106" s="19"/>
      <c r="B106" s="27"/>
      <c r="C106" s="27"/>
      <c r="D106" s="17"/>
      <c r="E106" s="17"/>
      <c r="F106" s="20"/>
    </row>
    <row r="107" spans="1:6" x14ac:dyDescent="0.25">
      <c r="A107" s="19"/>
      <c r="B107" s="27"/>
      <c r="C107" s="27"/>
      <c r="D107" s="17"/>
      <c r="E107" s="17"/>
      <c r="F107" s="20"/>
    </row>
    <row r="108" spans="1:6" x14ac:dyDescent="0.25">
      <c r="A108" s="19"/>
      <c r="B108" s="27"/>
      <c r="C108" s="27"/>
      <c r="D108" s="17"/>
      <c r="E108" s="17"/>
      <c r="F108" s="20"/>
    </row>
    <row r="109" spans="1:6" x14ac:dyDescent="0.25">
      <c r="A109" s="19"/>
      <c r="B109" s="27"/>
      <c r="C109" s="27"/>
      <c r="D109" s="17"/>
      <c r="E109" s="17"/>
      <c r="F109" s="20"/>
    </row>
    <row r="110" spans="1:6" x14ac:dyDescent="0.25">
      <c r="A110" s="19"/>
      <c r="B110" s="27"/>
      <c r="C110" s="27"/>
      <c r="D110" s="17"/>
      <c r="E110" s="17"/>
      <c r="F110" s="20"/>
    </row>
    <row r="111" spans="1:6" x14ac:dyDescent="0.25">
      <c r="A111" s="19"/>
      <c r="B111" s="27"/>
      <c r="C111" s="27"/>
      <c r="D111" s="17"/>
      <c r="E111" s="17"/>
      <c r="F111" s="20"/>
    </row>
    <row r="112" spans="1:6" x14ac:dyDescent="0.25">
      <c r="A112" s="19"/>
      <c r="B112" s="27"/>
      <c r="C112" s="27"/>
      <c r="D112" s="17"/>
      <c r="E112" s="17"/>
      <c r="F112" s="20"/>
    </row>
    <row r="113" spans="1:6" x14ac:dyDescent="0.25">
      <c r="A113" s="19"/>
      <c r="B113" s="27"/>
      <c r="C113" s="27"/>
      <c r="D113" s="17"/>
      <c r="E113" s="17"/>
      <c r="F113" s="20"/>
    </row>
    <row r="114" spans="1:6" x14ac:dyDescent="0.25">
      <c r="A114" s="19"/>
      <c r="B114" s="27"/>
      <c r="C114" s="27"/>
      <c r="D114" s="17"/>
      <c r="E114" s="17"/>
      <c r="F114" s="20"/>
    </row>
    <row r="115" spans="1:6" x14ac:dyDescent="0.25">
      <c r="A115" s="19"/>
      <c r="B115" s="27"/>
      <c r="C115" s="27"/>
      <c r="D115" s="17"/>
      <c r="E115" s="17"/>
      <c r="F115" s="20"/>
    </row>
    <row r="116" spans="1:6" x14ac:dyDescent="0.25">
      <c r="A116" s="19"/>
      <c r="B116" s="27"/>
      <c r="C116" s="27"/>
      <c r="D116" s="17"/>
      <c r="E116" s="17"/>
      <c r="F116" s="20"/>
    </row>
    <row r="117" spans="1:6" x14ac:dyDescent="0.25">
      <c r="A117" s="19"/>
      <c r="B117" s="27"/>
      <c r="C117" s="27"/>
      <c r="D117" s="17"/>
      <c r="E117" s="17"/>
      <c r="F117" s="20"/>
    </row>
    <row r="118" spans="1:6" x14ac:dyDescent="0.25">
      <c r="A118" s="19"/>
      <c r="B118" s="27"/>
      <c r="C118" s="27"/>
      <c r="D118" s="17"/>
      <c r="E118" s="17"/>
      <c r="F118" s="20"/>
    </row>
    <row r="119" spans="1:6" x14ac:dyDescent="0.25">
      <c r="A119" s="19"/>
      <c r="B119" s="27"/>
      <c r="C119" s="27"/>
      <c r="D119" s="17"/>
      <c r="E119" s="17"/>
      <c r="F119" s="20"/>
    </row>
    <row r="120" spans="1:6" x14ac:dyDescent="0.25">
      <c r="A120" s="19"/>
      <c r="B120" s="27"/>
      <c r="C120" s="27"/>
      <c r="D120" s="17"/>
      <c r="E120" s="17"/>
      <c r="F120" s="20"/>
    </row>
    <row r="121" spans="1:6" x14ac:dyDescent="0.25">
      <c r="A121" s="19"/>
      <c r="B121" s="27"/>
      <c r="C121" s="27"/>
      <c r="D121" s="17"/>
      <c r="E121" s="17"/>
      <c r="F121" s="20"/>
    </row>
    <row r="122" spans="1:6" x14ac:dyDescent="0.25">
      <c r="A122" s="19"/>
      <c r="B122" s="27"/>
      <c r="C122" s="27"/>
      <c r="D122" s="17"/>
      <c r="E122" s="17"/>
      <c r="F122" s="20"/>
    </row>
    <row r="123" spans="1:6" x14ac:dyDescent="0.25">
      <c r="A123" s="19"/>
      <c r="B123" s="27"/>
      <c r="C123" s="27"/>
      <c r="D123" s="17"/>
      <c r="E123" s="17"/>
      <c r="F123" s="20"/>
    </row>
    <row r="124" spans="1:6" x14ac:dyDescent="0.25">
      <c r="A124" s="19"/>
      <c r="B124" s="27"/>
      <c r="C124" s="27"/>
      <c r="D124" s="17"/>
      <c r="E124" s="17"/>
      <c r="F124" s="20"/>
    </row>
    <row r="125" spans="1:6" x14ac:dyDescent="0.25">
      <c r="A125" s="19"/>
      <c r="B125" s="27"/>
      <c r="C125" s="27"/>
      <c r="D125" s="17"/>
      <c r="E125" s="17"/>
      <c r="F125" s="20"/>
    </row>
    <row r="126" spans="1:6" x14ac:dyDescent="0.25">
      <c r="A126" s="19"/>
      <c r="B126" s="27"/>
      <c r="C126" s="27"/>
      <c r="D126" s="17"/>
      <c r="E126" s="17"/>
      <c r="F126" s="20"/>
    </row>
    <row r="127" spans="1:6" x14ac:dyDescent="0.25">
      <c r="A127" s="19"/>
      <c r="B127" s="27"/>
      <c r="C127" s="27"/>
      <c r="D127" s="17"/>
      <c r="E127" s="17"/>
      <c r="F127" s="20"/>
    </row>
    <row r="128" spans="1:6" x14ac:dyDescent="0.25">
      <c r="A128" s="19"/>
      <c r="B128" s="27"/>
      <c r="C128" s="27"/>
      <c r="D128" s="17"/>
      <c r="E128" s="17"/>
      <c r="F128" s="20"/>
    </row>
    <row r="129" spans="1:6" x14ac:dyDescent="0.25">
      <c r="A129" s="19"/>
      <c r="B129" s="27"/>
      <c r="C129" s="27"/>
      <c r="D129" s="17"/>
      <c r="E129" s="17"/>
      <c r="F129" s="20"/>
    </row>
    <row r="130" spans="1:6" x14ac:dyDescent="0.25">
      <c r="A130" s="19"/>
      <c r="B130" s="27"/>
      <c r="C130" s="27"/>
      <c r="D130" s="17"/>
      <c r="E130" s="17"/>
      <c r="F130" s="20"/>
    </row>
    <row r="131" spans="1:6" x14ac:dyDescent="0.25">
      <c r="A131" s="19"/>
      <c r="B131" s="27"/>
      <c r="C131" s="27"/>
      <c r="D131" s="17"/>
      <c r="E131" s="17"/>
      <c r="F131" s="20"/>
    </row>
    <row r="132" spans="1:6" x14ac:dyDescent="0.25">
      <c r="A132" s="19"/>
      <c r="B132" s="27"/>
      <c r="C132" s="27"/>
      <c r="D132" s="17"/>
      <c r="E132" s="17"/>
      <c r="F132" s="20"/>
    </row>
    <row r="133" spans="1:6" x14ac:dyDescent="0.25">
      <c r="A133" s="19"/>
      <c r="B133" s="27"/>
      <c r="C133" s="27"/>
      <c r="D133" s="17"/>
      <c r="E133" s="17"/>
      <c r="F133" s="20"/>
    </row>
    <row r="134" spans="1:6" x14ac:dyDescent="0.25">
      <c r="A134" s="19"/>
      <c r="B134" s="27"/>
      <c r="C134" s="27"/>
      <c r="D134" s="17"/>
      <c r="E134" s="17"/>
      <c r="F134" s="20"/>
    </row>
    <row r="135" spans="1:6" x14ac:dyDescent="0.25">
      <c r="A135" s="19"/>
      <c r="B135" s="27"/>
      <c r="C135" s="27"/>
      <c r="D135" s="17"/>
      <c r="E135" s="17"/>
      <c r="F135" s="20"/>
    </row>
    <row r="136" spans="1:6" x14ac:dyDescent="0.25">
      <c r="A136" s="19"/>
      <c r="B136" s="27"/>
      <c r="C136" s="27"/>
      <c r="D136" s="17"/>
      <c r="E136" s="17"/>
      <c r="F136" s="20"/>
    </row>
    <row r="137" spans="1:6" x14ac:dyDescent="0.25">
      <c r="A137" s="19"/>
      <c r="B137" s="27"/>
      <c r="C137" s="27"/>
      <c r="D137" s="17"/>
      <c r="E137" s="17"/>
      <c r="F137" s="20"/>
    </row>
    <row r="138" spans="1:6" x14ac:dyDescent="0.25">
      <c r="A138" s="19"/>
      <c r="B138" s="27"/>
      <c r="C138" s="27"/>
      <c r="D138" s="17"/>
      <c r="E138" s="17"/>
      <c r="F138" s="20"/>
    </row>
    <row r="139" spans="1:6" x14ac:dyDescent="0.25">
      <c r="A139" s="19"/>
      <c r="B139" s="27"/>
      <c r="C139" s="27"/>
      <c r="D139" s="17"/>
      <c r="E139" s="17"/>
      <c r="F139" s="20"/>
    </row>
    <row r="140" spans="1:6" x14ac:dyDescent="0.25">
      <c r="A140" s="19"/>
      <c r="B140" s="27"/>
      <c r="C140" s="27"/>
      <c r="D140" s="17"/>
      <c r="E140" s="17"/>
      <c r="F140" s="20"/>
    </row>
    <row r="141" spans="1:6" x14ac:dyDescent="0.25">
      <c r="A141" s="19"/>
      <c r="B141" s="27"/>
      <c r="C141" s="27"/>
      <c r="D141" s="17"/>
      <c r="E141" s="17"/>
      <c r="F141" s="20"/>
    </row>
  </sheetData>
  <mergeCells count="112">
    <mergeCell ref="B129:C129"/>
    <mergeCell ref="B130:C130"/>
    <mergeCell ref="B131:C131"/>
    <mergeCell ref="B132:C132"/>
    <mergeCell ref="B133:C133"/>
    <mergeCell ref="B134:C134"/>
    <mergeCell ref="B140:C140"/>
    <mergeCell ref="B141:C141"/>
    <mergeCell ref="B135:C135"/>
    <mergeCell ref="B136:C136"/>
    <mergeCell ref="B137:C137"/>
    <mergeCell ref="B138:C138"/>
    <mergeCell ref="B139:C13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34:C34"/>
    <mergeCell ref="B33:C33"/>
    <mergeCell ref="A11:B11"/>
    <mergeCell ref="B31:C31"/>
    <mergeCell ref="B32:C32"/>
    <mergeCell ref="B35:C35"/>
    <mergeCell ref="B36:C36"/>
    <mergeCell ref="B37:C37"/>
    <mergeCell ref="B38:C3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8"/>
  <sheetViews>
    <sheetView workbookViewId="0">
      <selection activeCell="B2" sqref="B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4" t="s">
        <v>0</v>
      </c>
      <c r="B1" s="24" t="s">
        <v>1</v>
      </c>
      <c r="C1" s="25" t="s">
        <v>2</v>
      </c>
      <c r="D1" s="25" t="s">
        <v>3</v>
      </c>
    </row>
    <row r="2" spans="1:4" x14ac:dyDescent="0.25">
      <c r="A2" t="s">
        <v>5</v>
      </c>
      <c r="B2" s="1">
        <v>5.1130000000000004</v>
      </c>
      <c r="C2" s="1">
        <v>5.2378664103796204</v>
      </c>
      <c r="D2" s="5">
        <f>B2*C2/100</f>
        <v>0.26781210956271001</v>
      </c>
    </row>
    <row r="3" spans="1:4" x14ac:dyDescent="0.25">
      <c r="A3" t="s">
        <v>4</v>
      </c>
      <c r="B3" s="1">
        <v>6.7568000000000001</v>
      </c>
      <c r="C3" s="1">
        <v>-0.31023784901758</v>
      </c>
      <c r="D3" s="5">
        <f t="shared" ref="D3:D49" si="0">B3*C3/100</f>
        <v>-2.0962150982419846E-2</v>
      </c>
    </row>
    <row r="4" spans="1:4" x14ac:dyDescent="0.25">
      <c r="A4" t="s">
        <v>8</v>
      </c>
      <c r="B4" s="1">
        <v>4.9534000000000002</v>
      </c>
      <c r="C4" s="1">
        <v>1.3333333333333299</v>
      </c>
      <c r="D4" s="5">
        <f t="shared" si="0"/>
        <v>6.6045333333333164E-2</v>
      </c>
    </row>
    <row r="5" spans="1:4" x14ac:dyDescent="0.25">
      <c r="A5" t="s">
        <v>7</v>
      </c>
      <c r="B5" s="1">
        <v>2.5649999999999999</v>
      </c>
      <c r="C5" s="1">
        <v>-9.9682539682539595</v>
      </c>
      <c r="D5" s="5">
        <f t="shared" si="0"/>
        <v>-0.25568571428571407</v>
      </c>
    </row>
    <row r="6" spans="1:4" x14ac:dyDescent="0.25">
      <c r="A6" t="s">
        <v>51</v>
      </c>
      <c r="B6" s="1">
        <v>4.34</v>
      </c>
      <c r="C6" s="1">
        <v>-9.9891422366992302</v>
      </c>
      <c r="D6" s="5">
        <f t="shared" si="0"/>
        <v>-0.43352877307274662</v>
      </c>
    </row>
    <row r="7" spans="1:4" x14ac:dyDescent="0.25">
      <c r="A7" t="s">
        <v>12</v>
      </c>
      <c r="B7" s="1">
        <v>7.93</v>
      </c>
      <c r="C7" s="1">
        <v>1.3493253373313301</v>
      </c>
      <c r="D7" s="5">
        <f t="shared" si="0"/>
        <v>0.10700149925037447</v>
      </c>
    </row>
    <row r="8" spans="1:4" x14ac:dyDescent="0.25">
      <c r="A8" t="s">
        <v>17</v>
      </c>
      <c r="B8" s="22">
        <v>3.1583000000000001</v>
      </c>
      <c r="C8" s="22">
        <v>-9.9902534113060408</v>
      </c>
      <c r="D8" s="5">
        <f t="shared" si="0"/>
        <v>-0.31552217348927869</v>
      </c>
    </row>
    <row r="9" spans="1:4" x14ac:dyDescent="0.25">
      <c r="A9" t="s">
        <v>10</v>
      </c>
      <c r="B9" s="1">
        <v>6.1475</v>
      </c>
      <c r="C9" s="1">
        <v>1.3123359580052401</v>
      </c>
      <c r="D9" s="5">
        <f t="shared" si="0"/>
        <v>8.0675853018372129E-2</v>
      </c>
    </row>
    <row r="10" spans="1:4" x14ac:dyDescent="0.25">
      <c r="A10" t="s">
        <v>6</v>
      </c>
      <c r="B10" s="1">
        <v>6.63</v>
      </c>
      <c r="C10" s="1">
        <v>1.38888888888888</v>
      </c>
      <c r="D10" s="5">
        <f t="shared" si="0"/>
        <v>9.208333333333274E-2</v>
      </c>
    </row>
    <row r="11" spans="1:4" x14ac:dyDescent="0.25">
      <c r="A11" t="s">
        <v>18</v>
      </c>
      <c r="B11" s="1">
        <v>3.3972000000000002</v>
      </c>
      <c r="C11" s="1">
        <v>2.0543806646525602</v>
      </c>
      <c r="D11" s="5">
        <f t="shared" si="0"/>
        <v>6.9791419939576785E-2</v>
      </c>
    </row>
    <row r="12" spans="1:4" x14ac:dyDescent="0.25">
      <c r="A12" t="s">
        <v>9</v>
      </c>
      <c r="B12" s="1">
        <v>9.3793000000000006</v>
      </c>
      <c r="C12" s="26">
        <v>6.8580542264752697</v>
      </c>
      <c r="D12" s="5">
        <f t="shared" si="0"/>
        <v>0.643237480063795</v>
      </c>
    </row>
    <row r="13" spans="1:4" x14ac:dyDescent="0.25">
      <c r="A13" t="s">
        <v>11</v>
      </c>
      <c r="B13" s="22">
        <v>1.8848</v>
      </c>
      <c r="C13" s="1">
        <v>0.29359953024075103</v>
      </c>
      <c r="D13" s="5">
        <f t="shared" si="0"/>
        <v>5.5337639459776752E-3</v>
      </c>
    </row>
    <row r="14" spans="1:4" x14ac:dyDescent="0.25">
      <c r="A14" t="s">
        <v>52</v>
      </c>
      <c r="B14" s="22">
        <v>1.6564000000000001</v>
      </c>
      <c r="C14" s="1">
        <v>-7.9466666666666601</v>
      </c>
      <c r="D14" s="5">
        <f t="shared" si="0"/>
        <v>-0.13162858666666655</v>
      </c>
    </row>
    <row r="15" spans="1:4" x14ac:dyDescent="0.25">
      <c r="A15" t="s">
        <v>53</v>
      </c>
      <c r="B15" s="22">
        <v>1.1576</v>
      </c>
      <c r="C15" s="22">
        <v>1.57811678064176</v>
      </c>
      <c r="D15" s="5">
        <f t="shared" si="0"/>
        <v>1.8268279852709013E-2</v>
      </c>
    </row>
    <row r="16" spans="1:4" x14ac:dyDescent="0.25">
      <c r="A16" t="s">
        <v>54</v>
      </c>
      <c r="B16" s="1">
        <v>1.1907000000000001</v>
      </c>
      <c r="C16" s="1">
        <v>-1.56</v>
      </c>
      <c r="D16" s="5">
        <f t="shared" si="0"/>
        <v>-1.8574920000000002E-2</v>
      </c>
    </row>
    <row r="17" spans="1:4" x14ac:dyDescent="0.25">
      <c r="A17" t="s">
        <v>55</v>
      </c>
      <c r="B17" s="1">
        <v>0.97</v>
      </c>
      <c r="C17" s="1">
        <v>-2.5786487880350601</v>
      </c>
      <c r="D17" s="5">
        <f t="shared" si="0"/>
        <v>-2.5012893243940085E-2</v>
      </c>
    </row>
    <row r="18" spans="1:4" x14ac:dyDescent="0.25">
      <c r="A18" t="s">
        <v>56</v>
      </c>
      <c r="B18" s="1">
        <v>1.5754999999999999</v>
      </c>
      <c r="C18" s="1">
        <v>-0.24813895781637699</v>
      </c>
      <c r="D18" s="5">
        <f t="shared" si="0"/>
        <v>-3.9094292803970197E-3</v>
      </c>
    </row>
    <row r="19" spans="1:4" x14ac:dyDescent="0.25">
      <c r="A19" t="s">
        <v>57</v>
      </c>
      <c r="B19" s="1">
        <v>1.0743</v>
      </c>
      <c r="C19" s="1">
        <v>3.3333333333333299</v>
      </c>
      <c r="D19" s="5">
        <f t="shared" si="0"/>
        <v>3.5809999999999967E-2</v>
      </c>
    </row>
    <row r="20" spans="1:4" x14ac:dyDescent="0.25">
      <c r="A20" t="s">
        <v>58</v>
      </c>
      <c r="B20" s="1">
        <v>0.63829999999999998</v>
      </c>
      <c r="C20" s="1">
        <v>1.3452914798206199</v>
      </c>
      <c r="D20" s="5">
        <f t="shared" si="0"/>
        <v>8.5869955156950162E-3</v>
      </c>
    </row>
    <row r="21" spans="1:4" x14ac:dyDescent="0.25">
      <c r="A21" t="s">
        <v>59</v>
      </c>
      <c r="B21" s="1">
        <v>1.0597000000000001</v>
      </c>
      <c r="C21" s="1">
        <v>0</v>
      </c>
      <c r="D21" s="5">
        <f t="shared" si="0"/>
        <v>0</v>
      </c>
    </row>
    <row r="22" spans="1:4" x14ac:dyDescent="0.25">
      <c r="A22" t="s">
        <v>60</v>
      </c>
      <c r="B22" s="1">
        <v>0.76910000000000001</v>
      </c>
      <c r="C22" s="1">
        <v>-9.3066542577943195E-2</v>
      </c>
      <c r="D22" s="5">
        <f t="shared" si="0"/>
        <v>-7.1577477896696111E-4</v>
      </c>
    </row>
    <row r="23" spans="1:4" x14ac:dyDescent="0.25">
      <c r="A23" t="s">
        <v>61</v>
      </c>
      <c r="B23" s="22">
        <v>0.63700000000000001</v>
      </c>
      <c r="C23" s="22">
        <v>-0.44125758411472699</v>
      </c>
      <c r="D23" s="5">
        <f t="shared" si="0"/>
        <v>-2.8108108108108108E-3</v>
      </c>
    </row>
    <row r="24" spans="1:4" x14ac:dyDescent="0.25">
      <c r="A24" t="s">
        <v>62</v>
      </c>
      <c r="B24" s="22">
        <v>0.82530000000000003</v>
      </c>
      <c r="C24" s="22">
        <v>0.678175092478421</v>
      </c>
      <c r="D24" s="5">
        <f t="shared" si="0"/>
        <v>5.5969790382244091E-3</v>
      </c>
    </row>
    <row r="25" spans="1:4" x14ac:dyDescent="0.25">
      <c r="A25" t="s">
        <v>63</v>
      </c>
      <c r="B25" s="22">
        <v>0.88739999999999997</v>
      </c>
      <c r="C25" s="22">
        <v>0.870253164556962</v>
      </c>
      <c r="D25" s="5">
        <f t="shared" si="0"/>
        <v>7.7226265822784804E-3</v>
      </c>
    </row>
    <row r="26" spans="1:4" x14ac:dyDescent="0.25">
      <c r="A26" t="s">
        <v>64</v>
      </c>
      <c r="B26" s="22">
        <v>0.63229999999999997</v>
      </c>
      <c r="C26" s="22">
        <v>0.38910505836575798</v>
      </c>
      <c r="D26" s="5">
        <f t="shared" si="0"/>
        <v>2.4603112840466874E-3</v>
      </c>
    </row>
    <row r="27" spans="1:4" x14ac:dyDescent="0.25">
      <c r="A27" t="s">
        <v>65</v>
      </c>
      <c r="B27" s="22">
        <v>0.80089999999999995</v>
      </c>
      <c r="C27" s="22">
        <v>0.13917884481558801</v>
      </c>
      <c r="D27" s="5">
        <f t="shared" si="0"/>
        <v>1.1146833681280443E-3</v>
      </c>
    </row>
    <row r="28" spans="1:4" x14ac:dyDescent="0.25">
      <c r="A28" t="s">
        <v>66</v>
      </c>
      <c r="B28" s="22">
        <v>0.56200000000000006</v>
      </c>
      <c r="C28" s="22">
        <v>-3.0820293978188702</v>
      </c>
      <c r="D28" s="5">
        <f t="shared" si="0"/>
        <v>-1.732100521574205E-2</v>
      </c>
    </row>
    <row r="29" spans="1:4" x14ac:dyDescent="0.25">
      <c r="A29" t="s">
        <v>67</v>
      </c>
      <c r="B29" s="22">
        <v>0.55779999999999996</v>
      </c>
      <c r="C29" s="22">
        <v>-0.35714285714285698</v>
      </c>
      <c r="D29" s="5">
        <f t="shared" si="0"/>
        <v>-1.9921428571428564E-3</v>
      </c>
    </row>
    <row r="30" spans="1:4" x14ac:dyDescent="0.25">
      <c r="A30" t="s">
        <v>68</v>
      </c>
      <c r="B30" s="22">
        <v>0.54</v>
      </c>
      <c r="C30" s="22">
        <v>-1.79245283018867</v>
      </c>
      <c r="D30" s="5">
        <f t="shared" si="0"/>
        <v>-9.679245283018818E-3</v>
      </c>
    </row>
    <row r="31" spans="1:4" x14ac:dyDescent="0.25">
      <c r="A31" t="s">
        <v>69</v>
      </c>
      <c r="B31" s="22">
        <v>0.53110000000000002</v>
      </c>
      <c r="C31" s="22">
        <v>2.1673690547862701</v>
      </c>
      <c r="D31" s="5">
        <f t="shared" si="0"/>
        <v>1.1510897049969882E-2</v>
      </c>
    </row>
    <row r="32" spans="1:4" x14ac:dyDescent="0.25">
      <c r="A32" t="s">
        <v>70</v>
      </c>
      <c r="B32" s="22">
        <v>0.50749999999999995</v>
      </c>
      <c r="C32" s="22">
        <v>1.5278838808250499</v>
      </c>
      <c r="D32" s="5">
        <f t="shared" si="0"/>
        <v>7.7540106951871279E-3</v>
      </c>
    </row>
    <row r="33" spans="1:4" x14ac:dyDescent="0.25">
      <c r="A33" t="s">
        <v>71</v>
      </c>
      <c r="B33" s="22">
        <v>0.36630000000000001</v>
      </c>
      <c r="C33" s="22">
        <v>1.79461615154536</v>
      </c>
      <c r="D33" s="5">
        <f t="shared" si="0"/>
        <v>6.5736789631106541E-3</v>
      </c>
    </row>
    <row r="34" spans="1:4" x14ac:dyDescent="0.25">
      <c r="A34" t="s">
        <v>72</v>
      </c>
      <c r="B34" s="22">
        <v>0.46589999999999998</v>
      </c>
      <c r="C34" s="22">
        <v>-0.84348641049671902</v>
      </c>
      <c r="D34" s="5">
        <f t="shared" si="0"/>
        <v>-3.9298031865042139E-3</v>
      </c>
    </row>
    <row r="35" spans="1:4" x14ac:dyDescent="0.25">
      <c r="A35" t="s">
        <v>73</v>
      </c>
      <c r="B35" s="22">
        <v>0.46929999999999999</v>
      </c>
      <c r="C35" s="22">
        <v>2.0611702127659499</v>
      </c>
      <c r="D35" s="5">
        <f t="shared" si="0"/>
        <v>9.6730718085106023E-3</v>
      </c>
    </row>
    <row r="36" spans="1:4" x14ac:dyDescent="0.25">
      <c r="A36" t="s">
        <v>74</v>
      </c>
      <c r="B36" s="22">
        <v>0.36849999999999999</v>
      </c>
      <c r="C36" s="22">
        <v>-0.369344413665743</v>
      </c>
      <c r="D36" s="5">
        <f t="shared" si="0"/>
        <v>-1.361034164358263E-3</v>
      </c>
    </row>
    <row r="37" spans="1:4" x14ac:dyDescent="0.25">
      <c r="A37" t="s">
        <v>75</v>
      </c>
      <c r="B37" s="22">
        <v>0.45519999999999999</v>
      </c>
      <c r="C37" s="22">
        <v>1.1875</v>
      </c>
      <c r="D37" s="5">
        <f t="shared" si="0"/>
        <v>5.4054999999999997E-3</v>
      </c>
    </row>
    <row r="38" spans="1:4" x14ac:dyDescent="0.25">
      <c r="A38" t="s">
        <v>76</v>
      </c>
      <c r="B38" s="22">
        <v>0.40139999999999998</v>
      </c>
      <c r="C38" s="22">
        <v>0.38986354775828402</v>
      </c>
      <c r="D38" s="5">
        <f t="shared" si="0"/>
        <v>1.5649122807017521E-3</v>
      </c>
    </row>
    <row r="39" spans="1:4" x14ac:dyDescent="0.25">
      <c r="A39" t="s">
        <v>15</v>
      </c>
      <c r="B39" s="22">
        <v>0.5524</v>
      </c>
      <c r="C39" s="22">
        <v>6.2706270627062697</v>
      </c>
      <c r="D39" s="5">
        <f t="shared" si="0"/>
        <v>3.4638943894389436E-2</v>
      </c>
    </row>
    <row r="40" spans="1:4" x14ac:dyDescent="0.25">
      <c r="A40" t="s">
        <v>77</v>
      </c>
      <c r="B40" s="22">
        <v>0.39200000000000002</v>
      </c>
      <c r="C40" s="22">
        <v>0.54229934924078005</v>
      </c>
      <c r="D40" s="5">
        <f t="shared" si="0"/>
        <v>2.1258134490238579E-3</v>
      </c>
    </row>
    <row r="41" spans="1:4" x14ac:dyDescent="0.25">
      <c r="A41" t="s">
        <v>78</v>
      </c>
      <c r="B41" s="22">
        <v>0.33839999999999998</v>
      </c>
      <c r="C41" s="22">
        <v>-0.45307443365695699</v>
      </c>
      <c r="D41" s="5">
        <f t="shared" si="0"/>
        <v>-1.5332038834951422E-3</v>
      </c>
    </row>
    <row r="42" spans="1:4" x14ac:dyDescent="0.25">
      <c r="A42" t="s">
        <v>79</v>
      </c>
      <c r="B42" s="22">
        <v>0.29149999999999998</v>
      </c>
      <c r="C42" s="22">
        <v>-2.8125</v>
      </c>
      <c r="D42" s="5">
        <f t="shared" si="0"/>
        <v>-8.1984374999999991E-3</v>
      </c>
    </row>
    <row r="43" spans="1:4" x14ac:dyDescent="0.25">
      <c r="A43" t="s">
        <v>80</v>
      </c>
      <c r="B43" s="22">
        <v>0.2029</v>
      </c>
      <c r="C43" s="22">
        <v>6.8376068376068302</v>
      </c>
      <c r="D43" s="5">
        <f t="shared" si="0"/>
        <v>1.3873504273504257E-2</v>
      </c>
    </row>
    <row r="44" spans="1:4" x14ac:dyDescent="0.25">
      <c r="A44" t="s">
        <v>14</v>
      </c>
      <c r="B44" s="22">
        <v>4.4999999999999998E-2</v>
      </c>
      <c r="C44" s="22">
        <v>-9.9703264094955397</v>
      </c>
      <c r="D44" s="5">
        <f t="shared" si="0"/>
        <v>-4.4866468842729929E-3</v>
      </c>
    </row>
    <row r="45" spans="1:4" x14ac:dyDescent="0.25">
      <c r="A45" t="s">
        <v>81</v>
      </c>
      <c r="B45" s="22">
        <v>0.2117</v>
      </c>
      <c r="C45" s="22">
        <v>-3.7406483790523599</v>
      </c>
      <c r="D45" s="5">
        <f t="shared" si="0"/>
        <v>-7.9189526184538454E-3</v>
      </c>
    </row>
    <row r="46" spans="1:4" x14ac:dyDescent="0.25">
      <c r="A46" t="s">
        <v>82</v>
      </c>
      <c r="B46" s="22">
        <v>8.0600000000000005E-2</v>
      </c>
      <c r="C46" s="22">
        <v>0.74441687344913099</v>
      </c>
      <c r="D46" s="5">
        <f t="shared" si="0"/>
        <v>5.9999999999999962E-4</v>
      </c>
    </row>
    <row r="47" spans="1:4" x14ac:dyDescent="0.25">
      <c r="A47" t="s">
        <v>83</v>
      </c>
      <c r="B47" s="22">
        <v>9.9000000000000008E-3</v>
      </c>
      <c r="C47" s="22">
        <v>-1.1981566820276499</v>
      </c>
      <c r="D47" s="5">
        <f t="shared" si="0"/>
        <v>-1.1861751152073735E-4</v>
      </c>
    </row>
    <row r="48" spans="1:4" x14ac:dyDescent="0.25">
      <c r="A48" t="s">
        <v>84</v>
      </c>
      <c r="B48" s="22">
        <v>3.3429000000000002</v>
      </c>
      <c r="C48" s="22">
        <v>0.12</v>
      </c>
      <c r="D48" s="5">
        <f t="shared" si="0"/>
        <v>4.0114800000000004E-3</v>
      </c>
    </row>
    <row r="49" spans="1:6" x14ac:dyDescent="0.25">
      <c r="A49" t="s">
        <v>85</v>
      </c>
      <c r="B49" s="22">
        <v>0.12039999999999999</v>
      </c>
      <c r="C49" s="22">
        <v>0.35</v>
      </c>
      <c r="D49" s="5">
        <f t="shared" si="0"/>
        <v>4.2139999999999994E-4</v>
      </c>
    </row>
    <row r="50" spans="1:6" x14ac:dyDescent="0.25">
      <c r="A50" s="12" t="s">
        <v>24</v>
      </c>
      <c r="B50" s="3">
        <f>SUM(B2:B49)</f>
        <v>86.942499999999995</v>
      </c>
      <c r="C50" s="3"/>
      <c r="D50" s="4">
        <f>SUM(D2:D49)</f>
        <v>0.24500356478750157</v>
      </c>
    </row>
    <row r="60" spans="1:6" x14ac:dyDescent="0.25">
      <c r="A60" s="3"/>
      <c r="B60" s="28"/>
      <c r="C60" s="28"/>
      <c r="D60" s="16"/>
      <c r="E60" s="3"/>
      <c r="F60" s="3"/>
    </row>
    <row r="61" spans="1:6" x14ac:dyDescent="0.25">
      <c r="A61" s="19"/>
      <c r="B61" s="27"/>
      <c r="C61" s="27"/>
      <c r="D61" s="17"/>
      <c r="E61" s="17"/>
      <c r="F61" s="20"/>
    </row>
    <row r="62" spans="1:6" x14ac:dyDescent="0.25">
      <c r="A62" s="19"/>
      <c r="B62" s="27"/>
      <c r="C62" s="27"/>
      <c r="D62" s="17"/>
      <c r="E62" s="17"/>
      <c r="F62" s="20"/>
    </row>
    <row r="63" spans="1:6" x14ac:dyDescent="0.25">
      <c r="A63" s="19"/>
      <c r="B63" s="27"/>
      <c r="C63" s="27"/>
      <c r="D63" s="17"/>
      <c r="E63" s="17"/>
      <c r="F63" s="20"/>
    </row>
    <row r="64" spans="1:6" x14ac:dyDescent="0.25">
      <c r="A64" s="19"/>
      <c r="B64" s="27"/>
      <c r="C64" s="27"/>
      <c r="D64" s="17"/>
      <c r="E64" s="17"/>
      <c r="F64" s="20"/>
    </row>
    <row r="65" spans="1:6" x14ac:dyDescent="0.25">
      <c r="A65" s="19"/>
      <c r="B65" s="27"/>
      <c r="C65" s="27"/>
      <c r="D65" s="17"/>
      <c r="E65" s="17"/>
      <c r="F65" s="20"/>
    </row>
    <row r="66" spans="1:6" x14ac:dyDescent="0.25">
      <c r="A66" s="19"/>
      <c r="B66" s="27"/>
      <c r="C66" s="27"/>
      <c r="D66" s="17"/>
      <c r="E66" s="17"/>
      <c r="F66" s="20"/>
    </row>
    <row r="67" spans="1:6" x14ac:dyDescent="0.25">
      <c r="A67" s="19"/>
      <c r="B67" s="27"/>
      <c r="C67" s="27"/>
      <c r="D67" s="17"/>
      <c r="E67" s="17"/>
      <c r="F67" s="20"/>
    </row>
    <row r="68" spans="1:6" x14ac:dyDescent="0.25">
      <c r="A68" s="19"/>
      <c r="B68" s="27"/>
      <c r="C68" s="27"/>
      <c r="D68" s="17"/>
      <c r="E68" s="17"/>
      <c r="F68" s="20"/>
    </row>
    <row r="69" spans="1:6" x14ac:dyDescent="0.25">
      <c r="A69" s="19"/>
      <c r="B69" s="27"/>
      <c r="C69" s="27"/>
      <c r="D69" s="17"/>
      <c r="E69" s="17"/>
      <c r="F69" s="20"/>
    </row>
    <row r="70" spans="1:6" x14ac:dyDescent="0.25">
      <c r="A70" s="19"/>
      <c r="B70" s="27"/>
      <c r="C70" s="27"/>
      <c r="D70" s="17"/>
      <c r="E70" s="17"/>
      <c r="F70" s="20"/>
    </row>
    <row r="71" spans="1:6" x14ac:dyDescent="0.25">
      <c r="A71" s="19"/>
      <c r="B71" s="27"/>
      <c r="C71" s="27"/>
      <c r="D71" s="17"/>
      <c r="E71" s="17"/>
      <c r="F71" s="20"/>
    </row>
    <row r="72" spans="1:6" x14ac:dyDescent="0.25">
      <c r="A72" s="19"/>
      <c r="B72" s="27"/>
      <c r="C72" s="27"/>
      <c r="D72" s="17"/>
      <c r="E72" s="17"/>
      <c r="F72" s="20"/>
    </row>
    <row r="73" spans="1:6" x14ac:dyDescent="0.25">
      <c r="A73" s="19"/>
      <c r="B73" s="27"/>
      <c r="C73" s="27"/>
      <c r="D73" s="17"/>
      <c r="E73" s="17"/>
      <c r="F73" s="20"/>
    </row>
    <row r="74" spans="1:6" x14ac:dyDescent="0.25">
      <c r="F74" s="20"/>
    </row>
    <row r="75" spans="1:6" x14ac:dyDescent="0.25">
      <c r="F75" s="20"/>
    </row>
    <row r="76" spans="1:6" x14ac:dyDescent="0.25">
      <c r="F76" s="20"/>
    </row>
    <row r="77" spans="1:6" x14ac:dyDescent="0.25">
      <c r="F77" s="20"/>
    </row>
    <row r="78" spans="1:6" x14ac:dyDescent="0.25">
      <c r="F78" s="20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6"/>
  <sheetViews>
    <sheetView workbookViewId="0">
      <selection activeCell="B2" sqref="B2:C3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4" t="s">
        <v>0</v>
      </c>
      <c r="B1" s="24" t="s">
        <v>1</v>
      </c>
      <c r="C1" s="25" t="s">
        <v>2</v>
      </c>
      <c r="D1" s="25" t="s">
        <v>3</v>
      </c>
    </row>
    <row r="2" spans="1:4" x14ac:dyDescent="0.25">
      <c r="A2" s="2" t="s">
        <v>78</v>
      </c>
      <c r="B2" s="29">
        <v>4.3846999999999996</v>
      </c>
      <c r="C2" s="1">
        <v>-0.45307443365695699</v>
      </c>
      <c r="D2" s="5">
        <f>B2*C2/100</f>
        <v>-1.986595469255659E-2</v>
      </c>
    </row>
    <row r="3" spans="1:4" x14ac:dyDescent="0.25">
      <c r="A3" s="2" t="s">
        <v>4</v>
      </c>
      <c r="B3" s="29">
        <v>5.5411000000000001</v>
      </c>
      <c r="C3" s="1">
        <v>-0.31023784901758</v>
      </c>
      <c r="D3" s="5">
        <f>B3*C3/100</f>
        <v>-1.7190589451913124E-2</v>
      </c>
    </row>
    <row r="4" spans="1:4" x14ac:dyDescent="0.25">
      <c r="A4" s="2" t="s">
        <v>8</v>
      </c>
      <c r="B4" s="29">
        <v>7.54</v>
      </c>
      <c r="C4" s="1">
        <v>1.3333333333333299</v>
      </c>
      <c r="D4" s="5">
        <f t="shared" ref="D4:D34" si="0">B4*C4/100</f>
        <v>0.10053333333333309</v>
      </c>
    </row>
    <row r="5" spans="1:4" x14ac:dyDescent="0.25">
      <c r="A5" s="2" t="s">
        <v>6</v>
      </c>
      <c r="B5" s="29">
        <v>2.6549999999999998</v>
      </c>
      <c r="C5" s="1">
        <v>1.38888888888888</v>
      </c>
      <c r="D5" s="5">
        <f t="shared" si="0"/>
        <v>3.6874999999999762E-2</v>
      </c>
    </row>
    <row r="6" spans="1:4" x14ac:dyDescent="0.25">
      <c r="A6" s="2" t="s">
        <v>15</v>
      </c>
      <c r="B6" s="29">
        <v>10.73</v>
      </c>
      <c r="C6" s="1">
        <v>6.2706270627062697</v>
      </c>
      <c r="D6" s="5">
        <f t="shared" si="0"/>
        <v>0.67283828382838284</v>
      </c>
    </row>
    <row r="7" spans="1:4" x14ac:dyDescent="0.25">
      <c r="A7" s="2" t="s">
        <v>18</v>
      </c>
      <c r="B7" s="29">
        <v>3.68</v>
      </c>
      <c r="C7" s="1">
        <v>2.0543806646525602</v>
      </c>
      <c r="D7" s="5">
        <f t="shared" si="0"/>
        <v>7.5601208459214225E-2</v>
      </c>
    </row>
    <row r="8" spans="1:4" x14ac:dyDescent="0.25">
      <c r="A8" s="2" t="s">
        <v>21</v>
      </c>
      <c r="B8" s="29">
        <v>1.58</v>
      </c>
      <c r="C8" s="1">
        <v>-8.18128310771041</v>
      </c>
      <c r="D8" s="5">
        <f t="shared" si="0"/>
        <v>-0.12926427310182448</v>
      </c>
    </row>
    <row r="9" spans="1:4" x14ac:dyDescent="0.25">
      <c r="A9" s="2" t="s">
        <v>9</v>
      </c>
      <c r="B9" s="29">
        <v>5.44</v>
      </c>
      <c r="C9" s="1">
        <v>6.8580542264752697</v>
      </c>
      <c r="D9" s="5">
        <f t="shared" si="0"/>
        <v>0.37307814992025468</v>
      </c>
    </row>
    <row r="10" spans="1:4" x14ac:dyDescent="0.25">
      <c r="A10" s="2" t="s">
        <v>86</v>
      </c>
      <c r="B10" s="29">
        <v>2.04</v>
      </c>
      <c r="C10" s="1">
        <v>-9.9587507365939896</v>
      </c>
      <c r="D10" s="5">
        <f t="shared" si="0"/>
        <v>-0.20315851502651738</v>
      </c>
    </row>
    <row r="11" spans="1:4" x14ac:dyDescent="0.25">
      <c r="A11" s="2" t="s">
        <v>32</v>
      </c>
      <c r="B11" s="29">
        <v>1.8241000000000001</v>
      </c>
      <c r="C11" s="1">
        <v>-1.187648456057</v>
      </c>
      <c r="D11" s="5">
        <f t="shared" si="0"/>
        <v>-2.1663895486935737E-2</v>
      </c>
    </row>
    <row r="12" spans="1:4" x14ac:dyDescent="0.25">
      <c r="A12" s="2" t="s">
        <v>87</v>
      </c>
      <c r="B12" s="29">
        <v>2.7008000000000001</v>
      </c>
      <c r="C12" s="1">
        <v>0.82146768893756805</v>
      </c>
      <c r="D12" s="5">
        <f t="shared" si="0"/>
        <v>2.2186199342825841E-2</v>
      </c>
    </row>
    <row r="13" spans="1:4" x14ac:dyDescent="0.25">
      <c r="A13" s="2" t="s">
        <v>56</v>
      </c>
      <c r="B13" s="29">
        <v>2.2517999999999998</v>
      </c>
      <c r="C13" s="1">
        <v>-0.24813895781637699</v>
      </c>
      <c r="D13" s="5">
        <f t="shared" si="0"/>
        <v>-5.5875930521091764E-3</v>
      </c>
    </row>
    <row r="14" spans="1:4" x14ac:dyDescent="0.25">
      <c r="A14" s="2" t="s">
        <v>88</v>
      </c>
      <c r="B14" s="29">
        <v>2.68</v>
      </c>
      <c r="C14" s="1">
        <v>-2.3480662983425402</v>
      </c>
      <c r="D14" s="5">
        <f t="shared" si="0"/>
        <v>-6.292817679558009E-2</v>
      </c>
    </row>
    <row r="15" spans="1:4" x14ac:dyDescent="0.25">
      <c r="A15" s="2" t="s">
        <v>89</v>
      </c>
      <c r="B15" s="29">
        <v>1.6856</v>
      </c>
      <c r="C15" s="1">
        <v>0</v>
      </c>
      <c r="D15" s="5">
        <f t="shared" si="0"/>
        <v>0</v>
      </c>
    </row>
    <row r="16" spans="1:4" x14ac:dyDescent="0.25">
      <c r="A16" s="2" t="s">
        <v>90</v>
      </c>
      <c r="B16" s="29">
        <v>2.1951999999999998</v>
      </c>
      <c r="C16" s="1">
        <v>-9.9616858237547898</v>
      </c>
      <c r="D16" s="5">
        <f t="shared" si="0"/>
        <v>-0.21867892720306514</v>
      </c>
    </row>
    <row r="17" spans="1:5" x14ac:dyDescent="0.25">
      <c r="A17" s="2" t="s">
        <v>91</v>
      </c>
      <c r="B17" s="29">
        <v>2.0144000000000002</v>
      </c>
      <c r="C17" s="1">
        <v>-2.0610057708161502</v>
      </c>
      <c r="D17" s="5">
        <f t="shared" si="0"/>
        <v>-4.1516900247320535E-2</v>
      </c>
    </row>
    <row r="18" spans="1:5" x14ac:dyDescent="0.25">
      <c r="A18" s="2" t="s">
        <v>92</v>
      </c>
      <c r="B18" s="29">
        <v>0.78639999999999999</v>
      </c>
      <c r="C18" s="1">
        <v>-5.55555555555555</v>
      </c>
      <c r="D18" s="5">
        <f t="shared" si="0"/>
        <v>-4.3688888888888847E-2</v>
      </c>
    </row>
    <row r="19" spans="1:5" x14ac:dyDescent="0.25">
      <c r="A19" s="2" t="s">
        <v>93</v>
      </c>
      <c r="B19" s="29">
        <v>2.403</v>
      </c>
      <c r="C19" s="1">
        <v>-1.8377693282636201</v>
      </c>
      <c r="D19" s="5">
        <f t="shared" si="0"/>
        <v>-4.4161596958174787E-2</v>
      </c>
    </row>
    <row r="20" spans="1:5" x14ac:dyDescent="0.25">
      <c r="A20" s="2" t="s">
        <v>10</v>
      </c>
      <c r="B20" s="29">
        <v>10.15</v>
      </c>
      <c r="C20" s="1">
        <v>1.3123359580052401</v>
      </c>
      <c r="D20" s="5">
        <f t="shared" si="0"/>
        <v>0.13320209973753186</v>
      </c>
    </row>
    <row r="21" spans="1:5" x14ac:dyDescent="0.25">
      <c r="A21" s="2" t="s">
        <v>66</v>
      </c>
      <c r="B21" s="29">
        <v>1.5559000000000001</v>
      </c>
      <c r="C21" s="1">
        <v>-3.0820293978188702</v>
      </c>
      <c r="D21" s="5">
        <f t="shared" si="0"/>
        <v>-4.7953295400663808E-2</v>
      </c>
    </row>
    <row r="22" spans="1:5" x14ac:dyDescent="0.25">
      <c r="A22" s="2" t="s">
        <v>13</v>
      </c>
      <c r="B22" s="29">
        <v>2.6297999999999999</v>
      </c>
      <c r="C22" s="1">
        <v>1.19695321001088</v>
      </c>
      <c r="D22" s="5">
        <f t="shared" si="0"/>
        <v>3.1477475516866117E-2</v>
      </c>
    </row>
    <row r="23" spans="1:5" x14ac:dyDescent="0.25">
      <c r="A23" s="2" t="s">
        <v>94</v>
      </c>
      <c r="B23" s="29">
        <v>1.5263</v>
      </c>
      <c r="C23" s="1">
        <v>-2.4764150943396199</v>
      </c>
      <c r="D23" s="5">
        <f t="shared" si="0"/>
        <v>-3.7797523584905617E-2</v>
      </c>
    </row>
    <row r="24" spans="1:5" x14ac:dyDescent="0.25">
      <c r="A24" s="2" t="s">
        <v>7</v>
      </c>
      <c r="B24" s="29">
        <v>1.2556</v>
      </c>
      <c r="C24" s="1">
        <v>-9.9682539682539595</v>
      </c>
      <c r="D24" s="5">
        <f t="shared" si="0"/>
        <v>-0.12516139682539673</v>
      </c>
    </row>
    <row r="25" spans="1:5" x14ac:dyDescent="0.25">
      <c r="A25" s="2" t="s">
        <v>95</v>
      </c>
      <c r="B25" s="29">
        <v>1.18</v>
      </c>
      <c r="C25" s="1">
        <v>-10</v>
      </c>
      <c r="D25" s="5">
        <f t="shared" si="0"/>
        <v>-0.11799999999999999</v>
      </c>
    </row>
    <row r="26" spans="1:5" x14ac:dyDescent="0.25">
      <c r="A26" s="2" t="s">
        <v>16</v>
      </c>
      <c r="B26" s="29">
        <v>5.8255999999999997</v>
      </c>
      <c r="C26" s="1">
        <v>0.11074197120708699</v>
      </c>
      <c r="D26" s="5">
        <f t="shared" si="0"/>
        <v>6.4513842746400599E-3</v>
      </c>
    </row>
    <row r="27" spans="1:5" x14ac:dyDescent="0.25">
      <c r="A27" s="2" t="s">
        <v>96</v>
      </c>
      <c r="B27" s="29">
        <v>1.7767999999999999</v>
      </c>
      <c r="C27" s="1">
        <v>0.62460961898813205</v>
      </c>
      <c r="D27" s="5">
        <f t="shared" si="0"/>
        <v>1.1098063710181129E-2</v>
      </c>
    </row>
    <row r="28" spans="1:5" x14ac:dyDescent="0.25">
      <c r="A28" s="2" t="s">
        <v>97</v>
      </c>
      <c r="B28" s="29">
        <v>0.98029999999999995</v>
      </c>
      <c r="C28" s="1">
        <v>-1.3146734520780301</v>
      </c>
      <c r="D28" s="5">
        <f t="shared" si="0"/>
        <v>-1.2887743850720928E-2</v>
      </c>
    </row>
    <row r="29" spans="1:5" x14ac:dyDescent="0.25">
      <c r="A29" s="2" t="s">
        <v>98</v>
      </c>
      <c r="B29" s="29">
        <v>0.84</v>
      </c>
      <c r="C29" s="1">
        <v>-7.6064200976971303</v>
      </c>
      <c r="D29" s="5">
        <f t="shared" si="0"/>
        <v>-6.3893928820655893E-2</v>
      </c>
      <c r="E29" s="2"/>
    </row>
    <row r="30" spans="1:5" x14ac:dyDescent="0.25">
      <c r="A30" s="2" t="s">
        <v>99</v>
      </c>
      <c r="B30" s="29">
        <v>0.60109999999999997</v>
      </c>
      <c r="C30" s="22">
        <v>-1.77880897138437</v>
      </c>
      <c r="D30" s="5">
        <f t="shared" si="0"/>
        <v>-1.0692420726991447E-2</v>
      </c>
      <c r="E30" s="13"/>
    </row>
    <row r="31" spans="1:5" x14ac:dyDescent="0.25">
      <c r="A31" s="2" t="s">
        <v>17</v>
      </c>
      <c r="B31" s="29">
        <v>0.54179999999999995</v>
      </c>
      <c r="C31" s="1">
        <v>-9.9902534113060408</v>
      </c>
      <c r="D31" s="5">
        <f t="shared" si="0"/>
        <v>-5.4127192982456121E-2</v>
      </c>
    </row>
    <row r="32" spans="1:5" x14ac:dyDescent="0.25">
      <c r="A32" s="2" t="s">
        <v>100</v>
      </c>
      <c r="B32" s="29">
        <v>0.50249999999999995</v>
      </c>
      <c r="C32" s="1">
        <v>2.2053231939163398</v>
      </c>
      <c r="D32" s="5">
        <f t="shared" si="0"/>
        <v>1.1081749049429606E-2</v>
      </c>
      <c r="E32" s="3"/>
    </row>
    <row r="33" spans="1:5" x14ac:dyDescent="0.25">
      <c r="A33" s="2" t="s">
        <v>101</v>
      </c>
      <c r="B33" s="29">
        <v>0.88429999999999997</v>
      </c>
      <c r="C33" s="22">
        <v>-3.13953488372093</v>
      </c>
      <c r="D33" s="5">
        <f t="shared" si="0"/>
        <v>-2.7762906976744182E-2</v>
      </c>
      <c r="E33" s="17"/>
    </row>
    <row r="34" spans="1:5" x14ac:dyDescent="0.25">
      <c r="A34" s="2" t="s">
        <v>102</v>
      </c>
      <c r="B34" s="29">
        <v>4.7699999999999999E-2</v>
      </c>
      <c r="C34" s="1">
        <v>-4.8780487804878003</v>
      </c>
      <c r="D34" s="5">
        <f t="shared" si="0"/>
        <v>-2.3268292682926809E-3</v>
      </c>
      <c r="E34" s="18"/>
    </row>
    <row r="35" spans="1:5" x14ac:dyDescent="0.25">
      <c r="A35" s="12" t="s">
        <v>24</v>
      </c>
      <c r="B35" s="4">
        <f>SUM(B2:B34)</f>
        <v>92.4298</v>
      </c>
      <c r="C35" s="3"/>
      <c r="D35" s="4">
        <f>SUM(D2:D34)</f>
        <v>0.16611439783094567</v>
      </c>
      <c r="E35" s="18"/>
    </row>
    <row r="36" spans="1:5" x14ac:dyDescent="0.25">
      <c r="A36" s="14"/>
      <c r="B36" s="27"/>
      <c r="C36" s="27"/>
      <c r="D36" s="21"/>
      <c r="E36" s="18"/>
    </row>
    <row r="37" spans="1:5" x14ac:dyDescent="0.25">
      <c r="A37" s="14"/>
      <c r="B37" s="27"/>
      <c r="C37" s="27"/>
      <c r="D37" s="21"/>
      <c r="E37" s="18"/>
    </row>
    <row r="38" spans="1:5" x14ac:dyDescent="0.25">
      <c r="A38" s="14"/>
      <c r="B38" s="27"/>
      <c r="C38" s="27"/>
      <c r="D38" s="21"/>
      <c r="E38" s="18"/>
    </row>
    <row r="39" spans="1:5" x14ac:dyDescent="0.25">
      <c r="A39" s="14"/>
      <c r="B39" s="27"/>
      <c r="C39" s="27"/>
      <c r="D39" s="21"/>
      <c r="E39" s="18"/>
    </row>
    <row r="40" spans="1:5" x14ac:dyDescent="0.25">
      <c r="A40" s="14"/>
      <c r="B40" s="27"/>
      <c r="C40" s="27"/>
      <c r="D40" s="21"/>
      <c r="E40" s="18"/>
    </row>
    <row r="41" spans="1:5" x14ac:dyDescent="0.25">
      <c r="A41" s="14"/>
      <c r="B41" s="27"/>
      <c r="C41" s="27"/>
      <c r="D41" s="21"/>
      <c r="E41" s="18"/>
    </row>
    <row r="42" spans="1:5" x14ac:dyDescent="0.25">
      <c r="A42" s="14"/>
      <c r="B42" s="27"/>
      <c r="C42" s="27"/>
      <c r="D42" s="21"/>
      <c r="E42" s="18"/>
    </row>
    <row r="43" spans="1:5" x14ac:dyDescent="0.25">
      <c r="A43" s="14"/>
      <c r="B43" s="27"/>
      <c r="C43" s="27"/>
      <c r="D43" s="21"/>
      <c r="E43" s="18"/>
    </row>
    <row r="44" spans="1:5" x14ac:dyDescent="0.25">
      <c r="A44" s="14"/>
      <c r="B44" s="27"/>
      <c r="C44" s="27"/>
      <c r="D44" s="21"/>
      <c r="E44" s="18"/>
    </row>
    <row r="45" spans="1:5" x14ac:dyDescent="0.25">
      <c r="A45" s="14"/>
      <c r="B45" s="27"/>
      <c r="C45" s="27"/>
      <c r="D45" s="21"/>
      <c r="E45" s="18"/>
    </row>
    <row r="46" spans="1:5" x14ac:dyDescent="0.25">
      <c r="A46" s="14"/>
      <c r="B46" s="27"/>
      <c r="C46" s="27"/>
      <c r="D46" s="21"/>
      <c r="E46" s="18"/>
    </row>
  </sheetData>
  <mergeCells count="11">
    <mergeCell ref="B41:C41"/>
    <mergeCell ref="B36:C36"/>
    <mergeCell ref="B37:C37"/>
    <mergeCell ref="B38:C38"/>
    <mergeCell ref="B39:C39"/>
    <mergeCell ref="B40:C40"/>
    <mergeCell ref="B42:C42"/>
    <mergeCell ref="B43:C43"/>
    <mergeCell ref="B44:C44"/>
    <mergeCell ref="B45:C45"/>
    <mergeCell ref="B46:C4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workbookViewId="0">
      <selection activeCell="B2" sqref="B2:C21"/>
    </sheetView>
  </sheetViews>
  <sheetFormatPr defaultRowHeight="15" x14ac:dyDescent="0.25"/>
  <sheetData>
    <row r="1" spans="1:4" x14ac:dyDescent="0.25">
      <c r="A1" s="24" t="s">
        <v>0</v>
      </c>
      <c r="B1" s="24" t="s">
        <v>1</v>
      </c>
      <c r="C1" s="25" t="s">
        <v>2</v>
      </c>
      <c r="D1" s="25" t="s">
        <v>3</v>
      </c>
    </row>
    <row r="2" spans="1:4" x14ac:dyDescent="0.25">
      <c r="A2" s="2" t="s">
        <v>4</v>
      </c>
      <c r="B2" s="29">
        <v>3.07</v>
      </c>
      <c r="C2" s="6">
        <v>-0.31023784901758</v>
      </c>
      <c r="D2" s="5">
        <f>B2*C2/100</f>
        <v>-9.5243019648397053E-3</v>
      </c>
    </row>
    <row r="3" spans="1:4" x14ac:dyDescent="0.25">
      <c r="A3" s="2" t="s">
        <v>6</v>
      </c>
      <c r="B3" s="29">
        <v>5.0960999999999999</v>
      </c>
      <c r="C3" s="6">
        <v>1.38888888888888</v>
      </c>
      <c r="D3" s="5">
        <f>B3*C3/100</f>
        <v>7.0779166666666213E-2</v>
      </c>
    </row>
    <row r="4" spans="1:4" x14ac:dyDescent="0.25">
      <c r="A4" s="2" t="s">
        <v>12</v>
      </c>
      <c r="B4" s="29">
        <v>12.44</v>
      </c>
      <c r="C4" s="6">
        <v>1.3493253373313301</v>
      </c>
      <c r="D4" s="5">
        <f t="shared" ref="D4:D21" si="0">B4*C4/100</f>
        <v>0.16785607196401744</v>
      </c>
    </row>
    <row r="5" spans="1:4" x14ac:dyDescent="0.25">
      <c r="A5" s="2" t="s">
        <v>10</v>
      </c>
      <c r="B5" s="29">
        <v>12.33</v>
      </c>
      <c r="C5" s="6">
        <v>1.3123359580052401</v>
      </c>
      <c r="D5" s="5">
        <f t="shared" si="0"/>
        <v>0.16181102362204608</v>
      </c>
    </row>
    <row r="6" spans="1:4" x14ac:dyDescent="0.25">
      <c r="A6" s="2" t="s">
        <v>9</v>
      </c>
      <c r="B6" s="29">
        <v>12.05</v>
      </c>
      <c r="C6" s="6">
        <v>6.8580542264752697</v>
      </c>
      <c r="D6" s="5">
        <f t="shared" si="0"/>
        <v>0.82639553429027002</v>
      </c>
    </row>
    <row r="7" spans="1:4" x14ac:dyDescent="0.25">
      <c r="A7" s="2" t="s">
        <v>13</v>
      </c>
      <c r="B7" s="29">
        <v>8.8000000000000007</v>
      </c>
      <c r="C7" s="6">
        <v>1.19695321001088</v>
      </c>
      <c r="D7" s="5">
        <f t="shared" si="0"/>
        <v>0.10533188248095744</v>
      </c>
    </row>
    <row r="8" spans="1:4" x14ac:dyDescent="0.25">
      <c r="A8" s="2" t="s">
        <v>7</v>
      </c>
      <c r="B8" s="29">
        <v>0.24</v>
      </c>
      <c r="C8" s="6">
        <v>-9.9682539682539595</v>
      </c>
      <c r="D8" s="5">
        <f t="shared" si="0"/>
        <v>-2.3923809523809503E-2</v>
      </c>
    </row>
    <row r="9" spans="1:4" x14ac:dyDescent="0.25">
      <c r="A9" s="2" t="s">
        <v>21</v>
      </c>
      <c r="B9" s="29">
        <v>1.54</v>
      </c>
      <c r="C9" s="6">
        <v>-8.18128310771041</v>
      </c>
      <c r="D9" s="5">
        <f t="shared" si="0"/>
        <v>-0.12599175985874031</v>
      </c>
    </row>
    <row r="10" spans="1:4" x14ac:dyDescent="0.25">
      <c r="A10" s="2" t="s">
        <v>17</v>
      </c>
      <c r="B10" s="29">
        <v>1.1200000000000001</v>
      </c>
      <c r="C10" s="6">
        <v>-9.9902534113060408</v>
      </c>
      <c r="D10" s="5">
        <f t="shared" si="0"/>
        <v>-0.11189083820662767</v>
      </c>
    </row>
    <row r="11" spans="1:4" x14ac:dyDescent="0.25">
      <c r="A11" s="2" t="s">
        <v>5</v>
      </c>
      <c r="B11" s="29">
        <v>17.190000000000001</v>
      </c>
      <c r="C11" s="6">
        <v>5.2378664103796204</v>
      </c>
      <c r="D11" s="5">
        <f t="shared" si="0"/>
        <v>0.90038923594425679</v>
      </c>
    </row>
    <row r="12" spans="1:4" x14ac:dyDescent="0.25">
      <c r="A12" s="2" t="s">
        <v>11</v>
      </c>
      <c r="B12" s="29">
        <v>1.3323</v>
      </c>
      <c r="C12" s="6">
        <v>0.29359953024075103</v>
      </c>
      <c r="D12" s="5">
        <f t="shared" si="0"/>
        <v>3.9116265413975263E-3</v>
      </c>
    </row>
    <row r="13" spans="1:4" x14ac:dyDescent="0.25">
      <c r="A13" s="2" t="s">
        <v>8</v>
      </c>
      <c r="B13" s="29">
        <v>0.74339999999999995</v>
      </c>
      <c r="C13" s="6">
        <v>1.3333333333333299</v>
      </c>
      <c r="D13" s="5">
        <f t="shared" si="0"/>
        <v>9.9119999999999747E-3</v>
      </c>
    </row>
    <row r="14" spans="1:4" x14ac:dyDescent="0.25">
      <c r="A14" s="2" t="s">
        <v>67</v>
      </c>
      <c r="B14" s="29">
        <v>0.15809999999999999</v>
      </c>
      <c r="C14" s="6">
        <v>-0.35714285714285698</v>
      </c>
      <c r="D14" s="5">
        <f t="shared" si="0"/>
        <v>-5.6464285714285687E-4</v>
      </c>
    </row>
    <row r="15" spans="1:4" x14ac:dyDescent="0.25">
      <c r="A15" s="2" t="s">
        <v>103</v>
      </c>
      <c r="B15" s="29">
        <v>4.0500000000000001E-2</v>
      </c>
      <c r="C15" s="6">
        <v>2.0543806646525602</v>
      </c>
      <c r="D15" s="5">
        <f t="shared" si="0"/>
        <v>8.3202416918428692E-4</v>
      </c>
    </row>
    <row r="16" spans="1:4" x14ac:dyDescent="0.25">
      <c r="A16" s="2" t="s">
        <v>14</v>
      </c>
      <c r="B16" s="29">
        <v>3.5700000000000003E-2</v>
      </c>
      <c r="C16" s="6">
        <v>-9.9703264094955397</v>
      </c>
      <c r="D16" s="5">
        <f t="shared" si="0"/>
        <v>-3.5594065281899078E-3</v>
      </c>
    </row>
    <row r="17" spans="1:4" x14ac:dyDescent="0.25">
      <c r="A17" s="2" t="s">
        <v>51</v>
      </c>
      <c r="B17" s="29">
        <v>0.3034</v>
      </c>
      <c r="C17" s="6">
        <v>-9.9891422366992302</v>
      </c>
      <c r="D17" s="5">
        <f t="shared" si="0"/>
        <v>-3.0307057546145467E-2</v>
      </c>
    </row>
    <row r="18" spans="1:4" x14ac:dyDescent="0.25">
      <c r="A18" s="2" t="s">
        <v>30</v>
      </c>
      <c r="B18" s="29">
        <v>0.1177</v>
      </c>
      <c r="C18" s="6">
        <v>-1.0705289672544001</v>
      </c>
      <c r="D18" s="5">
        <f t="shared" si="0"/>
        <v>-1.2600125944584289E-3</v>
      </c>
    </row>
    <row r="19" spans="1:4" x14ac:dyDescent="0.25">
      <c r="A19" s="2" t="s">
        <v>87</v>
      </c>
      <c r="B19" s="29">
        <v>0.1799</v>
      </c>
      <c r="C19" s="6">
        <v>0.82146768893756805</v>
      </c>
      <c r="D19" s="5">
        <f t="shared" si="0"/>
        <v>1.4778203723986849E-3</v>
      </c>
    </row>
    <row r="20" spans="1:4" x14ac:dyDescent="0.25">
      <c r="A20" s="2" t="s">
        <v>36</v>
      </c>
      <c r="B20" s="29">
        <v>0.2026</v>
      </c>
      <c r="C20" s="6">
        <v>2.17755443886097</v>
      </c>
      <c r="D20" s="5">
        <f t="shared" si="0"/>
        <v>4.4117252931323257E-3</v>
      </c>
    </row>
    <row r="21" spans="1:4" x14ac:dyDescent="0.25">
      <c r="A21" s="2" t="s">
        <v>16</v>
      </c>
      <c r="B21" s="29">
        <v>6.9500000000000006E-2</v>
      </c>
      <c r="C21" s="6">
        <v>0.11074197120708699</v>
      </c>
      <c r="D21" s="5">
        <f t="shared" si="0"/>
        <v>7.696566998892547E-5</v>
      </c>
    </row>
    <row r="22" spans="1:4" x14ac:dyDescent="0.25">
      <c r="A22" s="12" t="s">
        <v>24</v>
      </c>
      <c r="B22" s="29">
        <v>1.0200000000000001E-2</v>
      </c>
      <c r="C22" s="1">
        <v>2.64</v>
      </c>
      <c r="D22" s="4">
        <f>SUM(D2:D21)</f>
        <v>1.946163247934362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DFI</vt:lpstr>
      <vt:lpstr>KHA</vt:lpstr>
      <vt:lpstr>THF</vt:lpstr>
      <vt:lpstr>TMV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hf vbn</cp:lastModifiedBy>
  <dcterms:modified xsi:type="dcterms:W3CDTF">2026-09-01T16:32:06Z</dcterms:modified>
</cp:coreProperties>
</file>