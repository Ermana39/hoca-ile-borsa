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fonlar\etki-analizi\_data\"/>
    </mc:Choice>
  </mc:AlternateContent>
  <xr:revisionPtr revIDLastSave="0" documentId="13_ncr:1_{A03AE0A1-307B-432C-B804-29EDF0532F2B}" xr6:coauthVersionLast="47" xr6:coauthVersionMax="47" xr10:uidLastSave="{00000000-0000-0000-0000-000000000000}"/>
  <bookViews>
    <workbookView xWindow="-37275" yWindow="0" windowWidth="13200" windowHeight="20985" activeTab="5" xr2:uid="{00000000-000D-0000-FFFF-FFFF00000000}"/>
  </bookViews>
  <sheets>
    <sheet name="TLY" sheetId="1" r:id="rId1"/>
    <sheet name="PHE" sheetId="2" r:id="rId2"/>
    <sheet name="DFI" sheetId="4" r:id="rId3"/>
    <sheet name="KHA" sheetId="7" r:id="rId4"/>
    <sheet name="THF" sheetId="8" r:id="rId5"/>
    <sheet name="TMV" sheetId="9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1" i="9" l="1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B22" i="9"/>
  <c r="D34" i="8"/>
  <c r="D33" i="8"/>
  <c r="D31" i="8"/>
  <c r="D30" i="8"/>
  <c r="D29" i="8"/>
  <c r="D28" i="8"/>
  <c r="D27" i="8"/>
  <c r="D26" i="8"/>
  <c r="D25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B35" i="8"/>
  <c r="D32" i="8"/>
  <c r="D24" i="8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B50" i="7"/>
  <c r="D49" i="7"/>
  <c r="D48" i="7"/>
  <c r="D4" i="4"/>
  <c r="D3" i="4"/>
  <c r="D2" i="4"/>
  <c r="B10" i="4"/>
  <c r="D9" i="4"/>
  <c r="D8" i="4"/>
  <c r="D7" i="4"/>
  <c r="D6" i="4"/>
  <c r="D5" i="4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B23" i="1"/>
  <c r="D22" i="1"/>
  <c r="D21" i="1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B27" i="2"/>
  <c r="D26" i="2"/>
  <c r="D25" i="2"/>
  <c r="D24" i="2"/>
  <c r="D23" i="2"/>
  <c r="D22" i="9" l="1"/>
  <c r="D35" i="8"/>
  <c r="D50" i="7"/>
  <c r="D10" i="4"/>
  <c r="D23" i="1"/>
  <c r="D27" i="2"/>
</calcChain>
</file>

<file path=xl/sharedStrings.xml><?xml version="1.0" encoding="utf-8"?>
<sst xmlns="http://schemas.openxmlformats.org/spreadsheetml/2006/main" count="185" uniqueCount="105">
  <si>
    <t>SEMBOL</t>
  </si>
  <si>
    <t>FON ORANI</t>
  </si>
  <si>
    <t>KAPANIŞ MARJI</t>
  </si>
  <si>
    <t>ETKİ</t>
  </si>
  <si>
    <t>OZATD</t>
  </si>
  <si>
    <t>DSTKF</t>
  </si>
  <si>
    <t>TEHOL</t>
  </si>
  <si>
    <t>PEKGY</t>
  </si>
  <si>
    <t>TERA</t>
  </si>
  <si>
    <t>TRHOL</t>
  </si>
  <si>
    <t>ANELE</t>
  </si>
  <si>
    <t>ALKLC</t>
  </si>
  <si>
    <t>SELEC</t>
  </si>
  <si>
    <t>BIGEN</t>
  </si>
  <si>
    <t>HEDEF</t>
  </si>
  <si>
    <t>KARCL</t>
  </si>
  <si>
    <t>SVGYO</t>
  </si>
  <si>
    <t>EUPWR</t>
  </si>
  <si>
    <t>MANAS</t>
  </si>
  <si>
    <t>SARAE</t>
  </si>
  <si>
    <t>DAPGM</t>
  </si>
  <si>
    <t>TMPOL</t>
  </si>
  <si>
    <t>HMV</t>
  </si>
  <si>
    <t>T3B</t>
  </si>
  <si>
    <t>Toplam</t>
  </si>
  <si>
    <t>ETKİ ORANI</t>
  </si>
  <si>
    <t>ODINE</t>
  </si>
  <si>
    <t>PASEU</t>
  </si>
  <si>
    <t>GUNDG</t>
  </si>
  <si>
    <t>KTLEV</t>
  </si>
  <si>
    <t>AKSEN</t>
  </si>
  <si>
    <t>BALSU</t>
  </si>
  <si>
    <t>TATEN</t>
  </si>
  <si>
    <t>IZFAS</t>
  </si>
  <si>
    <t>IZENR</t>
  </si>
  <si>
    <t>ALVES</t>
  </si>
  <si>
    <t>TURSG</t>
  </si>
  <si>
    <t>TRALT</t>
  </si>
  <si>
    <t>MOPAS</t>
  </si>
  <si>
    <t>PKZ</t>
  </si>
  <si>
    <t>PCS</t>
  </si>
  <si>
    <t>PRY</t>
  </si>
  <si>
    <t>PDG</t>
  </si>
  <si>
    <t>IEYHO</t>
  </si>
  <si>
    <t>ISKPL</t>
  </si>
  <si>
    <t>LIDER</t>
  </si>
  <si>
    <t>ABG</t>
  </si>
  <si>
    <t>PSE</t>
  </si>
  <si>
    <t>BAC</t>
  </si>
  <si>
    <t>KVR</t>
  </si>
  <si>
    <t>PFS</t>
  </si>
  <si>
    <t>GESAN</t>
  </si>
  <si>
    <t>CWENE</t>
  </si>
  <si>
    <t>TCELL</t>
  </si>
  <si>
    <t>PSGYO</t>
  </si>
  <si>
    <t>EREGL</t>
  </si>
  <si>
    <t>THYAO</t>
  </si>
  <si>
    <t>PGSUS</t>
  </si>
  <si>
    <t>AEFES</t>
  </si>
  <si>
    <t>SAHOL</t>
  </si>
  <si>
    <t>KCHOL</t>
  </si>
  <si>
    <t>ARCLK</t>
  </si>
  <si>
    <t>BIMAS</t>
  </si>
  <si>
    <t>ISCTR</t>
  </si>
  <si>
    <t>ULKER</t>
  </si>
  <si>
    <t>AKBNK</t>
  </si>
  <si>
    <t>HALKB</t>
  </si>
  <si>
    <t>KORDS</t>
  </si>
  <si>
    <t>TAVHL</t>
  </si>
  <si>
    <t>ISMEN</t>
  </si>
  <si>
    <t>GARAN</t>
  </si>
  <si>
    <t>PETKM</t>
  </si>
  <si>
    <t>MGROS</t>
  </si>
  <si>
    <t>CCOLA</t>
  </si>
  <si>
    <t>ALARK</t>
  </si>
  <si>
    <t>AGHOL</t>
  </si>
  <si>
    <t>FROTO</t>
  </si>
  <si>
    <t>MAVI</t>
  </si>
  <si>
    <t>ASELS</t>
  </si>
  <si>
    <t>GLRYH</t>
  </si>
  <si>
    <t>BRKO</t>
  </si>
  <si>
    <t>A1CAP</t>
  </si>
  <si>
    <t>BIZIM</t>
  </si>
  <si>
    <t>TOASO</t>
  </si>
  <si>
    <t>PKV</t>
  </si>
  <si>
    <t>PIS</t>
  </si>
  <si>
    <t>GIPTA</t>
  </si>
  <si>
    <t>YKBNK</t>
  </si>
  <si>
    <t>BRSAN</t>
  </si>
  <si>
    <t>ORZAX</t>
  </si>
  <si>
    <t>KGYO</t>
  </si>
  <si>
    <t>NETCD</t>
  </si>
  <si>
    <t>BARMA</t>
  </si>
  <si>
    <t>MCARD</t>
  </si>
  <si>
    <t>GLRMK</t>
  </si>
  <si>
    <t>EGEGY</t>
  </si>
  <si>
    <t>TUPRS</t>
  </si>
  <si>
    <t>TABGD</t>
  </si>
  <si>
    <t>ATATR</t>
  </si>
  <si>
    <t>MOBTL</t>
  </si>
  <si>
    <t>BSOKE</t>
  </si>
  <si>
    <t>RUZYE</t>
  </si>
  <si>
    <t>RNPOL</t>
  </si>
  <si>
    <t xml:space="preserve">MANAS </t>
  </si>
  <si>
    <t>ISVEA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</si>
</sst>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&quot;₺&quot;#,##0.00"/>
    <numFmt numFmtId="166" formatCode="0.000"/>
    <numFmt numFmtId="167" formatCode="&quot;₺&quot;#,##0"/>
    <numFmt numFmtId="168" formatCode="0.000000"/>
  </numFmts>
  <fonts count="9" x14ac:knownFonts="1">
    <font>
      <sz val="11"/>
      <color rgb="FF000000"/>
      <name val="Calibri"/>
    </font>
    <font>
      <b/>
      <sz val="11"/>
      <color rgb="FFFF0000"/>
      <name val="Calibri"/>
    </font>
    <font>
      <sz val="11"/>
      <color theme="1"/>
      <name val="Calibri"/>
    </font>
    <font>
      <sz val="11"/>
      <color rgb="FFFF0000"/>
      <name val="Calibri"/>
    </font>
    <font>
      <sz val="11"/>
      <name val="Calibri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34">
    <xf numFmtId="0" fontId="0" fillId="0" borderId="0" xfId="0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0" fontId="3" fillId="0" borderId="0" xfId="0" applyFont="1"/>
    <xf numFmtId="167" fontId="0" fillId="0" borderId="0" xfId="0" applyNumberFormat="1" applyAlignment="1">
      <alignment horizontal="center" vertical="center"/>
    </xf>
    <xf numFmtId="14" fontId="0" fillId="0" borderId="0" xfId="0" applyNumberFormat="1"/>
    <xf numFmtId="167" fontId="0" fillId="0" borderId="0" xfId="0" applyNumberFormat="1"/>
    <xf numFmtId="0" fontId="1" fillId="0" borderId="0" xfId="0" applyFont="1" applyAlignment="1">
      <alignment horizontal="center"/>
    </xf>
    <xf numFmtId="167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right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0" fontId="7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workbookViewId="0">
      <selection activeCell="C2" sqref="C2:C22"/>
    </sheetView>
  </sheetViews>
  <sheetFormatPr defaultRowHeight="15" x14ac:dyDescent="0.25"/>
  <cols>
    <col min="1" max="1" width="11" customWidth="1"/>
    <col min="2" max="2" width="10" customWidth="1"/>
    <col min="3" max="3" width="14.42578125" customWidth="1"/>
    <col min="4" max="4" width="19" customWidth="1"/>
    <col min="5" max="5" width="20" customWidth="1"/>
  </cols>
  <sheetData>
    <row r="1" spans="1:4" x14ac:dyDescent="0.25">
      <c r="A1" s="25" t="s">
        <v>0</v>
      </c>
      <c r="B1" s="25" t="s">
        <v>1</v>
      </c>
      <c r="C1" s="26" t="s">
        <v>2</v>
      </c>
      <c r="D1" s="26" t="s">
        <v>3</v>
      </c>
    </row>
    <row r="2" spans="1:4" x14ac:dyDescent="0.25">
      <c r="A2" s="2" t="s">
        <v>4</v>
      </c>
      <c r="B2" s="2">
        <v>26.83</v>
      </c>
      <c r="C2" s="1">
        <v>5.8171745152354504</v>
      </c>
      <c r="D2" s="5">
        <f>B2*C2/100</f>
        <v>1.5607479224376712</v>
      </c>
    </row>
    <row r="3" spans="1:4" x14ac:dyDescent="0.25">
      <c r="A3" s="2" t="s">
        <v>5</v>
      </c>
      <c r="B3" s="2">
        <v>20.61</v>
      </c>
      <c r="C3" s="1">
        <v>-9.9793814432989691</v>
      </c>
      <c r="D3" s="5">
        <f>B3*C3/100</f>
        <v>-2.0567505154639174</v>
      </c>
    </row>
    <row r="4" spans="1:4" x14ac:dyDescent="0.25">
      <c r="A4" s="2" t="s">
        <v>6</v>
      </c>
      <c r="B4" s="2">
        <v>7.38</v>
      </c>
      <c r="C4" s="1">
        <v>-9.9893162393162296</v>
      </c>
      <c r="D4" s="5">
        <f t="shared" ref="D4:D22" si="0">B4*C4/100</f>
        <v>-0.73721153846153764</v>
      </c>
    </row>
    <row r="5" spans="1:4" x14ac:dyDescent="0.25">
      <c r="A5" s="2" t="s">
        <v>7</v>
      </c>
      <c r="B5" s="2">
        <v>9.17</v>
      </c>
      <c r="C5" s="1">
        <v>1.8518518518518501</v>
      </c>
      <c r="D5" s="5">
        <f t="shared" si="0"/>
        <v>0.16981481481481467</v>
      </c>
    </row>
    <row r="6" spans="1:4" x14ac:dyDescent="0.25">
      <c r="A6" s="2" t="s">
        <v>8</v>
      </c>
      <c r="B6" s="2">
        <v>2.91</v>
      </c>
      <c r="C6" s="1">
        <v>2.3796347537354698</v>
      </c>
      <c r="D6" s="5">
        <f t="shared" si="0"/>
        <v>6.9247371333702179E-2</v>
      </c>
    </row>
    <row r="7" spans="1:4" x14ac:dyDescent="0.25">
      <c r="A7" s="2" t="s">
        <v>9</v>
      </c>
      <c r="B7" s="2">
        <v>6.11</v>
      </c>
      <c r="C7" s="1">
        <v>9.9442379182156095</v>
      </c>
      <c r="D7" s="5">
        <f t="shared" si="0"/>
        <v>0.60759293680297377</v>
      </c>
    </row>
    <row r="8" spans="1:4" x14ac:dyDescent="0.25">
      <c r="A8" s="2" t="s">
        <v>10</v>
      </c>
      <c r="B8" s="2">
        <v>2.56</v>
      </c>
      <c r="C8" s="1">
        <v>9.0909090909090899</v>
      </c>
      <c r="D8" s="5">
        <f t="shared" si="0"/>
        <v>0.2327272727272727</v>
      </c>
    </row>
    <row r="9" spans="1:4" x14ac:dyDescent="0.25">
      <c r="A9" s="2" t="s">
        <v>11</v>
      </c>
      <c r="B9" s="2">
        <v>1.3</v>
      </c>
      <c r="C9" s="1">
        <v>-0.47281323877068498</v>
      </c>
      <c r="D9" s="5">
        <f t="shared" si="0"/>
        <v>-6.1465721040189049E-3</v>
      </c>
    </row>
    <row r="10" spans="1:4" x14ac:dyDescent="0.25">
      <c r="A10" s="2" t="s">
        <v>12</v>
      </c>
      <c r="B10" s="2">
        <v>1.8</v>
      </c>
      <c r="C10" s="1">
        <v>8</v>
      </c>
      <c r="D10" s="5">
        <f t="shared" si="0"/>
        <v>0.14400000000000002</v>
      </c>
    </row>
    <row r="11" spans="1:4" x14ac:dyDescent="0.25">
      <c r="A11" s="2" t="s">
        <v>13</v>
      </c>
      <c r="B11" s="2">
        <v>2.31</v>
      </c>
      <c r="C11" s="1">
        <v>6.0606060606060597</v>
      </c>
      <c r="D11" s="5">
        <f t="shared" si="0"/>
        <v>0.13999999999999999</v>
      </c>
    </row>
    <row r="12" spans="1:4" x14ac:dyDescent="0.25">
      <c r="A12" s="2" t="s">
        <v>14</v>
      </c>
      <c r="B12" s="2">
        <v>0.27</v>
      </c>
      <c r="C12" s="1">
        <v>0.48309178743961301</v>
      </c>
      <c r="D12" s="5">
        <f t="shared" si="0"/>
        <v>1.3043478260869551E-3</v>
      </c>
    </row>
    <row r="13" spans="1:4" x14ac:dyDescent="0.25">
      <c r="A13" s="2" t="s">
        <v>15</v>
      </c>
      <c r="B13" s="2">
        <v>1.23</v>
      </c>
      <c r="C13" s="1">
        <v>9.9748533109807198</v>
      </c>
      <c r="D13" s="5">
        <f t="shared" si="0"/>
        <v>0.12269069572506286</v>
      </c>
    </row>
    <row r="14" spans="1:4" x14ac:dyDescent="0.25">
      <c r="A14" s="2" t="s">
        <v>16</v>
      </c>
      <c r="B14" s="2">
        <v>0.77</v>
      </c>
      <c r="C14" s="1">
        <v>2.8901734104046199</v>
      </c>
      <c r="D14" s="5">
        <f t="shared" si="0"/>
        <v>2.2254335260115572E-2</v>
      </c>
    </row>
    <row r="15" spans="1:4" x14ac:dyDescent="0.25">
      <c r="A15" s="2" t="s">
        <v>17</v>
      </c>
      <c r="B15" s="2">
        <v>0.31</v>
      </c>
      <c r="C15" s="1">
        <v>3.6180904522613</v>
      </c>
      <c r="D15" s="5">
        <f t="shared" si="0"/>
        <v>1.1216080402010029E-2</v>
      </c>
    </row>
    <row r="16" spans="1:4" x14ac:dyDescent="0.25">
      <c r="A16" s="2" t="s">
        <v>18</v>
      </c>
      <c r="B16" s="2">
        <v>0.14000000000000001</v>
      </c>
      <c r="C16" s="1">
        <v>0</v>
      </c>
      <c r="D16" s="5">
        <f t="shared" si="0"/>
        <v>0</v>
      </c>
    </row>
    <row r="17" spans="1:6" x14ac:dyDescent="0.25">
      <c r="A17" s="2" t="s">
        <v>19</v>
      </c>
      <c r="B17" s="2">
        <v>0.12</v>
      </c>
      <c r="C17" s="1">
        <v>6.0451977401129904</v>
      </c>
      <c r="D17" s="5">
        <f t="shared" si="0"/>
        <v>7.2542372881355876E-3</v>
      </c>
    </row>
    <row r="18" spans="1:6" x14ac:dyDescent="0.25">
      <c r="A18" s="2" t="s">
        <v>20</v>
      </c>
      <c r="B18" s="2">
        <v>0.04</v>
      </c>
      <c r="C18" s="1">
        <v>0.35502958579881599</v>
      </c>
      <c r="D18" s="5">
        <f t="shared" si="0"/>
        <v>1.4201183431952638E-4</v>
      </c>
    </row>
    <row r="19" spans="1:6" x14ac:dyDescent="0.25">
      <c r="A19" s="2" t="s">
        <v>104</v>
      </c>
      <c r="B19" s="2">
        <v>7.0000000000000007E-2</v>
      </c>
      <c r="C19" s="1">
        <v>4.1567695961995197</v>
      </c>
      <c r="D19" s="5">
        <f t="shared" si="0"/>
        <v>2.9097387173396636E-3</v>
      </c>
    </row>
    <row r="20" spans="1:6" x14ac:dyDescent="0.25">
      <c r="A20" s="2" t="s">
        <v>21</v>
      </c>
      <c r="B20" s="2">
        <v>0.1</v>
      </c>
      <c r="C20" s="1">
        <v>-1.12842557764642</v>
      </c>
      <c r="D20" s="5">
        <f t="shared" si="0"/>
        <v>-1.12842557764642E-3</v>
      </c>
    </row>
    <row r="21" spans="1:6" x14ac:dyDescent="0.25">
      <c r="A21" s="2" t="s">
        <v>22</v>
      </c>
      <c r="B21" s="2">
        <v>4.78</v>
      </c>
      <c r="C21" s="1">
        <v>-0.22</v>
      </c>
      <c r="D21" s="5">
        <f t="shared" si="0"/>
        <v>-1.0516000000000001E-2</v>
      </c>
    </row>
    <row r="22" spans="1:6" x14ac:dyDescent="0.25">
      <c r="A22" s="2" t="s">
        <v>23</v>
      </c>
      <c r="B22" s="2">
        <v>0.01</v>
      </c>
      <c r="C22" s="1">
        <v>1.9</v>
      </c>
      <c r="D22" s="5">
        <f t="shared" si="0"/>
        <v>1.8999999999999998E-4</v>
      </c>
    </row>
    <row r="23" spans="1:6" x14ac:dyDescent="0.25">
      <c r="A23" s="27" t="s">
        <v>24</v>
      </c>
      <c r="B23" s="27">
        <f>B2+B3+B4+B5+B6+B7+B8+B9+B10+B11+B12+B14+B15+B16+B17+B18+B20+B21+B22+B13+B19</f>
        <v>88.820000000000007</v>
      </c>
      <c r="C23" s="27"/>
      <c r="D23" s="28">
        <f>D2+D3+D4+D5+D6+D7+D8+D9+D10+D11+D12+D14+D15+D16+D17+D18+D20+D21+D22+D13+D19</f>
        <v>0.28033871356238438</v>
      </c>
    </row>
    <row r="24" spans="1:6" x14ac:dyDescent="0.25">
      <c r="A24" s="3"/>
      <c r="B24" s="3"/>
      <c r="C24" s="3"/>
      <c r="D24" s="4"/>
    </row>
    <row r="25" spans="1:6" x14ac:dyDescent="0.25">
      <c r="A25" s="12"/>
      <c r="B25" s="3"/>
      <c r="C25" s="3"/>
      <c r="D25" s="4"/>
    </row>
    <row r="27" spans="1:6" x14ac:dyDescent="0.25">
      <c r="C27" s="3"/>
    </row>
    <row r="28" spans="1:6" x14ac:dyDescent="0.25">
      <c r="C28" s="2"/>
      <c r="D28" s="2"/>
      <c r="E28" s="2"/>
    </row>
    <row r="29" spans="1:6" x14ac:dyDescent="0.25">
      <c r="A29" s="32"/>
      <c r="B29" s="32"/>
      <c r="C29" s="2"/>
      <c r="D29" s="2"/>
      <c r="E29" s="13"/>
    </row>
    <row r="30" spans="1:6" x14ac:dyDescent="0.25">
      <c r="A30" s="32"/>
      <c r="B30" s="32"/>
      <c r="C30" s="7"/>
      <c r="D30" s="15"/>
    </row>
    <row r="31" spans="1:6" x14ac:dyDescent="0.25">
      <c r="A31" s="3"/>
      <c r="B31" s="33"/>
      <c r="C31" s="33"/>
      <c r="D31" s="16"/>
      <c r="E31" s="3"/>
      <c r="F31" s="3"/>
    </row>
    <row r="32" spans="1:6" x14ac:dyDescent="0.25">
      <c r="A32" s="14"/>
      <c r="B32" s="32"/>
      <c r="C32" s="32"/>
      <c r="D32" s="21"/>
      <c r="E32" s="17"/>
      <c r="F32" s="20"/>
    </row>
    <row r="33" spans="1:6" x14ac:dyDescent="0.25">
      <c r="A33" s="14"/>
      <c r="B33" s="32"/>
      <c r="C33" s="32"/>
      <c r="D33" s="21"/>
      <c r="E33" s="18"/>
      <c r="F33" s="20"/>
    </row>
    <row r="34" spans="1:6" x14ac:dyDescent="0.25">
      <c r="A34" s="14"/>
      <c r="B34" s="32"/>
      <c r="C34" s="32"/>
      <c r="D34" s="21"/>
      <c r="E34" s="18"/>
      <c r="F34" s="20"/>
    </row>
    <row r="35" spans="1:6" x14ac:dyDescent="0.25">
      <c r="A35" s="14"/>
      <c r="B35" s="32"/>
      <c r="C35" s="32"/>
      <c r="D35" s="21"/>
      <c r="E35" s="18"/>
      <c r="F35" s="20"/>
    </row>
    <row r="36" spans="1:6" x14ac:dyDescent="0.25">
      <c r="A36" s="14"/>
      <c r="B36" s="32"/>
      <c r="C36" s="32"/>
      <c r="D36" s="21"/>
      <c r="E36" s="18"/>
      <c r="F36" s="20"/>
    </row>
    <row r="37" spans="1:6" x14ac:dyDescent="0.25">
      <c r="A37" s="14"/>
      <c r="B37" s="32"/>
      <c r="C37" s="32"/>
      <c r="D37" s="21"/>
      <c r="E37" s="18"/>
      <c r="F37" s="20"/>
    </row>
    <row r="38" spans="1:6" x14ac:dyDescent="0.25">
      <c r="A38" s="14"/>
      <c r="B38" s="32"/>
      <c r="C38" s="32"/>
      <c r="D38" s="21"/>
      <c r="E38" s="18"/>
      <c r="F38" s="20"/>
    </row>
    <row r="39" spans="1:6" x14ac:dyDescent="0.25">
      <c r="A39" s="14"/>
      <c r="B39" s="32"/>
      <c r="C39" s="32"/>
      <c r="D39" s="21"/>
      <c r="E39" s="18"/>
      <c r="F39" s="20"/>
    </row>
    <row r="40" spans="1:6" x14ac:dyDescent="0.25">
      <c r="A40" s="14"/>
      <c r="B40" s="32"/>
      <c r="C40" s="32"/>
      <c r="D40" s="21"/>
      <c r="E40" s="18"/>
      <c r="F40" s="20"/>
    </row>
    <row r="41" spans="1:6" x14ac:dyDescent="0.25">
      <c r="A41" s="14"/>
      <c r="B41" s="32"/>
      <c r="C41" s="32"/>
      <c r="D41" s="21"/>
      <c r="E41" s="18"/>
      <c r="F41" s="20"/>
    </row>
    <row r="42" spans="1:6" x14ac:dyDescent="0.25">
      <c r="A42" s="14"/>
      <c r="B42" s="32"/>
      <c r="C42" s="32"/>
      <c r="D42" s="21"/>
      <c r="E42" s="18"/>
      <c r="F42" s="20"/>
    </row>
    <row r="43" spans="1:6" x14ac:dyDescent="0.25">
      <c r="A43" s="14"/>
      <c r="B43" s="32"/>
      <c r="C43" s="32"/>
      <c r="D43" s="21"/>
      <c r="E43" s="18"/>
      <c r="F43" s="20"/>
    </row>
    <row r="44" spans="1:6" x14ac:dyDescent="0.25">
      <c r="A44" s="14"/>
      <c r="B44" s="32"/>
      <c r="C44" s="32"/>
      <c r="D44" s="21"/>
      <c r="E44" s="18"/>
      <c r="F44" s="20"/>
    </row>
  </sheetData>
  <mergeCells count="16">
    <mergeCell ref="B44:C44"/>
    <mergeCell ref="B43:C43"/>
    <mergeCell ref="B42:C42"/>
    <mergeCell ref="B36:C36"/>
    <mergeCell ref="A29:B29"/>
    <mergeCell ref="A30:B30"/>
    <mergeCell ref="B31:C31"/>
    <mergeCell ref="B32:C32"/>
    <mergeCell ref="B35:C35"/>
    <mergeCell ref="B34:C34"/>
    <mergeCell ref="B33:C33"/>
    <mergeCell ref="B41:C41"/>
    <mergeCell ref="B40:C40"/>
    <mergeCell ref="B39:C39"/>
    <mergeCell ref="B38:C38"/>
    <mergeCell ref="B37:C3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1"/>
  <sheetViews>
    <sheetView workbookViewId="0">
      <selection activeCell="C2" sqref="C2:C26"/>
    </sheetView>
  </sheetViews>
  <sheetFormatPr defaultRowHeight="15" x14ac:dyDescent="0.25"/>
  <cols>
    <col min="1" max="1" width="11" customWidth="1"/>
    <col min="2" max="2" width="10.42578125" customWidth="1"/>
    <col min="3" max="3" width="11.85546875" customWidth="1"/>
    <col min="4" max="4" width="19.5703125" customWidth="1"/>
    <col min="5" max="5" width="18.42578125" customWidth="1"/>
    <col min="6" max="6" width="11.28515625" customWidth="1"/>
  </cols>
  <sheetData>
    <row r="1" spans="1:4" x14ac:dyDescent="0.25">
      <c r="A1" s="25" t="s">
        <v>0</v>
      </c>
      <c r="B1" s="25" t="s">
        <v>25</v>
      </c>
      <c r="C1" s="26" t="s">
        <v>2</v>
      </c>
      <c r="D1" s="26" t="s">
        <v>3</v>
      </c>
    </row>
    <row r="2" spans="1:4" x14ac:dyDescent="0.25">
      <c r="A2" s="2" t="s">
        <v>26</v>
      </c>
      <c r="B2" s="2">
        <v>12.08</v>
      </c>
      <c r="C2" s="23">
        <v>-1.97969543147208</v>
      </c>
      <c r="D2" s="2">
        <f>B2*C2/100</f>
        <v>-0.23914720812182724</v>
      </c>
    </row>
    <row r="3" spans="1:4" x14ac:dyDescent="0.25">
      <c r="A3" s="2" t="s">
        <v>27</v>
      </c>
      <c r="B3" s="2">
        <v>7.68</v>
      </c>
      <c r="C3" s="23">
        <v>4.3103448275862002</v>
      </c>
      <c r="D3" s="2">
        <f t="shared" ref="D3:D26" si="0">B3*C3/100</f>
        <v>0.33103448275862013</v>
      </c>
    </row>
    <row r="4" spans="1:4" x14ac:dyDescent="0.25">
      <c r="A4" s="2" t="s">
        <v>28</v>
      </c>
      <c r="B4" s="2">
        <v>24</v>
      </c>
      <c r="C4" s="23">
        <v>-10</v>
      </c>
      <c r="D4" s="2">
        <f t="shared" si="0"/>
        <v>-2.4</v>
      </c>
    </row>
    <row r="5" spans="1:4" x14ac:dyDescent="0.25">
      <c r="A5" s="2" t="s">
        <v>29</v>
      </c>
      <c r="B5" s="2">
        <v>12.31</v>
      </c>
      <c r="C5" s="23">
        <v>3.2258064516128999</v>
      </c>
      <c r="D5" s="2">
        <f t="shared" si="0"/>
        <v>0.397096774193548</v>
      </c>
    </row>
    <row r="6" spans="1:4" x14ac:dyDescent="0.25">
      <c r="A6" s="2" t="s">
        <v>14</v>
      </c>
      <c r="B6" s="2">
        <v>4.0199999999999996</v>
      </c>
      <c r="C6" s="23">
        <v>-9.9216710182767596</v>
      </c>
      <c r="D6" s="2">
        <f t="shared" si="0"/>
        <v>-0.39885117493472572</v>
      </c>
    </row>
    <row r="7" spans="1:4" x14ac:dyDescent="0.25">
      <c r="A7" s="2" t="s">
        <v>5</v>
      </c>
      <c r="B7" s="2">
        <v>4.49</v>
      </c>
      <c r="C7" s="23">
        <v>3.1914893617021201</v>
      </c>
      <c r="D7" s="2">
        <f t="shared" si="0"/>
        <v>0.14329787234042521</v>
      </c>
    </row>
    <row r="8" spans="1:4" x14ac:dyDescent="0.25">
      <c r="A8" s="2" t="s">
        <v>30</v>
      </c>
      <c r="B8" s="2">
        <v>5.63</v>
      </c>
      <c r="C8" s="23">
        <v>0.67650676506764995</v>
      </c>
      <c r="D8" s="2">
        <f t="shared" si="0"/>
        <v>3.8087330873308692E-2</v>
      </c>
    </row>
    <row r="9" spans="1:4" x14ac:dyDescent="0.25">
      <c r="A9" s="2" t="s">
        <v>31</v>
      </c>
      <c r="B9" s="2">
        <v>2.82</v>
      </c>
      <c r="C9" s="23">
        <v>-1.4071294559099401</v>
      </c>
      <c r="D9" s="2">
        <f t="shared" si="0"/>
        <v>-3.9681050656660305E-2</v>
      </c>
    </row>
    <row r="10" spans="1:4" x14ac:dyDescent="0.25">
      <c r="A10" s="2" t="s">
        <v>10</v>
      </c>
      <c r="B10" s="2">
        <v>2.75</v>
      </c>
      <c r="C10" s="23">
        <v>7.1428571428571397</v>
      </c>
      <c r="D10" s="2">
        <f t="shared" si="0"/>
        <v>0.19642857142857134</v>
      </c>
    </row>
    <row r="11" spans="1:4" x14ac:dyDescent="0.25">
      <c r="A11" s="2" t="s">
        <v>32</v>
      </c>
      <c r="B11" s="2">
        <v>1.89</v>
      </c>
      <c r="C11" s="23">
        <v>-2.62008733624454</v>
      </c>
      <c r="D11" s="2">
        <f t="shared" si="0"/>
        <v>-4.9519650655021799E-2</v>
      </c>
    </row>
    <row r="12" spans="1:4" x14ac:dyDescent="0.25">
      <c r="A12" s="2" t="s">
        <v>33</v>
      </c>
      <c r="B12" s="2">
        <v>1.1100000000000001</v>
      </c>
      <c r="C12" s="23">
        <v>9.9906629318394007</v>
      </c>
      <c r="D12" s="2">
        <f t="shared" si="0"/>
        <v>0.11089635854341737</v>
      </c>
    </row>
    <row r="13" spans="1:4" x14ac:dyDescent="0.25">
      <c r="A13" s="2" t="s">
        <v>21</v>
      </c>
      <c r="B13" s="2">
        <v>2.25</v>
      </c>
      <c r="C13" s="23">
        <v>-8.5054080629301794</v>
      </c>
      <c r="D13" s="2">
        <f t="shared" si="0"/>
        <v>-0.19137168141592903</v>
      </c>
    </row>
    <row r="14" spans="1:4" x14ac:dyDescent="0.25">
      <c r="A14" s="2" t="s">
        <v>7</v>
      </c>
      <c r="B14" s="2">
        <v>1.89</v>
      </c>
      <c r="C14" s="23">
        <v>6.7897165458141</v>
      </c>
      <c r="D14" s="2">
        <f t="shared" si="0"/>
        <v>0.12832564271588648</v>
      </c>
    </row>
    <row r="15" spans="1:4" x14ac:dyDescent="0.25">
      <c r="A15" s="2" t="s">
        <v>11</v>
      </c>
      <c r="B15" s="2">
        <v>0.66</v>
      </c>
      <c r="C15" s="23">
        <v>0.177619893428063</v>
      </c>
      <c r="D15" s="2">
        <f t="shared" si="0"/>
        <v>1.1722912966252157E-3</v>
      </c>
    </row>
    <row r="16" spans="1:4" x14ac:dyDescent="0.25">
      <c r="A16" s="2" t="s">
        <v>20</v>
      </c>
      <c r="B16" s="2">
        <v>0.99</v>
      </c>
      <c r="C16" s="23">
        <v>-1.16959064327485</v>
      </c>
      <c r="D16" s="2">
        <f t="shared" si="0"/>
        <v>-1.1578947368421015E-2</v>
      </c>
    </row>
    <row r="17" spans="1:4" x14ac:dyDescent="0.25">
      <c r="A17" s="2" t="s">
        <v>34</v>
      </c>
      <c r="B17" s="2">
        <v>0.38</v>
      </c>
      <c r="C17" s="23">
        <v>-0.11947431302269999</v>
      </c>
      <c r="D17" s="2">
        <f t="shared" si="0"/>
        <v>-4.5400238948625998E-4</v>
      </c>
    </row>
    <row r="18" spans="1:4" x14ac:dyDescent="0.25">
      <c r="A18" s="2" t="s">
        <v>35</v>
      </c>
      <c r="B18" s="2">
        <v>0.13</v>
      </c>
      <c r="C18" s="23">
        <v>-0.55865921787709405</v>
      </c>
      <c r="D18" s="2">
        <f t="shared" si="0"/>
        <v>-7.2625698324022231E-4</v>
      </c>
    </row>
    <row r="19" spans="1:4" x14ac:dyDescent="0.25">
      <c r="A19" s="2" t="s">
        <v>9</v>
      </c>
      <c r="B19" s="2">
        <v>1.64</v>
      </c>
      <c r="C19" s="23">
        <v>1.89393939393939</v>
      </c>
      <c r="D19" s="2">
        <f t="shared" si="0"/>
        <v>3.1060606060605993E-2</v>
      </c>
    </row>
    <row r="20" spans="1:4" x14ac:dyDescent="0.25">
      <c r="A20" s="2" t="s">
        <v>36</v>
      </c>
      <c r="B20" s="2">
        <v>7.0000000000000007E-2</v>
      </c>
      <c r="C20" s="23">
        <v>1.6286644951139999</v>
      </c>
      <c r="D20" s="2">
        <f t="shared" si="0"/>
        <v>1.1400651465798002E-3</v>
      </c>
    </row>
    <row r="21" spans="1:4" x14ac:dyDescent="0.25">
      <c r="A21" s="2" t="s">
        <v>37</v>
      </c>
      <c r="B21" s="2">
        <v>0.04</v>
      </c>
      <c r="C21" s="23">
        <v>1.7757009345794299</v>
      </c>
      <c r="D21" s="2">
        <f t="shared" si="0"/>
        <v>7.1028037383177205E-4</v>
      </c>
    </row>
    <row r="22" spans="1:4" x14ac:dyDescent="0.25">
      <c r="A22" s="2" t="s">
        <v>38</v>
      </c>
      <c r="B22" s="2">
        <v>7.0000000000000007E-2</v>
      </c>
      <c r="C22" s="23">
        <v>-0.14336917562724</v>
      </c>
      <c r="D22" s="2">
        <f t="shared" si="0"/>
        <v>-1.0035842293906801E-4</v>
      </c>
    </row>
    <row r="23" spans="1:4" x14ac:dyDescent="0.25">
      <c r="A23" s="2" t="s">
        <v>39</v>
      </c>
      <c r="B23" s="2">
        <v>10.79</v>
      </c>
      <c r="C23" s="23">
        <v>5.66</v>
      </c>
      <c r="D23" s="2">
        <f t="shared" si="0"/>
        <v>0.61071399999999998</v>
      </c>
    </row>
    <row r="24" spans="1:4" x14ac:dyDescent="0.25">
      <c r="A24" s="2" t="s">
        <v>40</v>
      </c>
      <c r="B24" s="2">
        <v>9.2100000000000009</v>
      </c>
      <c r="C24" s="23">
        <v>8.32</v>
      </c>
      <c r="D24" s="2">
        <f t="shared" si="0"/>
        <v>0.76627200000000018</v>
      </c>
    </row>
    <row r="25" spans="1:4" x14ac:dyDescent="0.25">
      <c r="A25" s="2" t="s">
        <v>41</v>
      </c>
      <c r="B25" s="2">
        <v>1.66</v>
      </c>
      <c r="C25" s="1">
        <v>0.14000000000000001</v>
      </c>
      <c r="D25" s="2">
        <f t="shared" si="0"/>
        <v>2.3240000000000001E-3</v>
      </c>
    </row>
    <row r="26" spans="1:4" x14ac:dyDescent="0.25">
      <c r="A26" s="2" t="s">
        <v>42</v>
      </c>
      <c r="B26" s="2">
        <v>0.02</v>
      </c>
      <c r="C26" s="1">
        <v>-1.67</v>
      </c>
      <c r="D26" s="2">
        <f t="shared" si="0"/>
        <v>-3.3399999999999999E-4</v>
      </c>
    </row>
    <row r="27" spans="1:4" x14ac:dyDescent="0.25">
      <c r="A27" s="29" t="s">
        <v>24</v>
      </c>
      <c r="B27" s="27">
        <f>SUM(B2:B26)</f>
        <v>108.57999999999997</v>
      </c>
      <c r="D27" s="28">
        <f>SUM(D2:D26)</f>
        <v>-0.57320405521683049</v>
      </c>
    </row>
    <row r="28" spans="1:4" x14ac:dyDescent="0.25">
      <c r="A28" s="2"/>
      <c r="B28" s="2"/>
      <c r="C28" s="6"/>
      <c r="D28" s="2"/>
    </row>
    <row r="29" spans="1:4" x14ac:dyDescent="0.25">
      <c r="A29" s="2"/>
      <c r="B29" s="2"/>
      <c r="C29" s="6"/>
      <c r="D29" s="2"/>
    </row>
    <row r="30" spans="1:4" x14ac:dyDescent="0.25">
      <c r="A30" s="2"/>
      <c r="B30" s="2"/>
      <c r="C30" s="6"/>
      <c r="D30" s="2"/>
    </row>
    <row r="31" spans="1:4" x14ac:dyDescent="0.25">
      <c r="A31" s="2"/>
      <c r="B31" s="2"/>
      <c r="C31" s="6"/>
      <c r="D31" s="2"/>
    </row>
    <row r="32" spans="1:4" x14ac:dyDescent="0.25">
      <c r="A32" s="2"/>
      <c r="B32" s="2"/>
      <c r="C32" s="6"/>
      <c r="D32" s="2"/>
    </row>
    <row r="33" spans="1:5" x14ac:dyDescent="0.25">
      <c r="A33" s="2"/>
      <c r="B33" s="9"/>
      <c r="C33" s="11"/>
      <c r="D33" s="2"/>
    </row>
    <row r="34" spans="1:5" x14ac:dyDescent="0.25">
      <c r="A34" s="2"/>
      <c r="B34" s="2"/>
      <c r="C34" s="6"/>
      <c r="D34" s="2"/>
    </row>
    <row r="35" spans="1:5" x14ac:dyDescent="0.25">
      <c r="A35" s="2"/>
      <c r="B35" s="2"/>
      <c r="C35" s="6"/>
      <c r="D35" s="2"/>
    </row>
    <row r="36" spans="1:5" x14ac:dyDescent="0.25">
      <c r="A36" s="2"/>
      <c r="B36" s="2"/>
      <c r="C36" s="6"/>
      <c r="D36" s="2"/>
    </row>
    <row r="37" spans="1:5" x14ac:dyDescent="0.25">
      <c r="A37" s="2"/>
      <c r="B37" s="2"/>
      <c r="C37" s="6"/>
      <c r="D37" s="2"/>
    </row>
    <row r="38" spans="1:5" x14ac:dyDescent="0.25">
      <c r="A38" s="2"/>
      <c r="B38" s="2"/>
      <c r="C38" s="6"/>
      <c r="D38" s="2"/>
    </row>
    <row r="39" spans="1:5" x14ac:dyDescent="0.25">
      <c r="A39" s="2"/>
      <c r="B39" s="2"/>
      <c r="C39" s="6"/>
      <c r="D39" s="2"/>
    </row>
    <row r="40" spans="1:5" x14ac:dyDescent="0.25">
      <c r="A40" s="2"/>
      <c r="B40" s="2"/>
      <c r="C40" s="6"/>
      <c r="D40" s="2"/>
    </row>
    <row r="41" spans="1:5" x14ac:dyDescent="0.25">
      <c r="A41" s="2"/>
      <c r="B41" s="2"/>
      <c r="C41" s="2"/>
      <c r="D41" s="2"/>
    </row>
    <row r="42" spans="1:5" x14ac:dyDescent="0.25">
      <c r="A42" s="2"/>
      <c r="B42" s="2"/>
      <c r="C42" s="2"/>
      <c r="D42" s="2"/>
    </row>
    <row r="43" spans="1:5" x14ac:dyDescent="0.25">
      <c r="A43" s="2"/>
      <c r="B43" s="2"/>
      <c r="C43" s="2"/>
      <c r="D43" s="2"/>
    </row>
    <row r="44" spans="1:5" x14ac:dyDescent="0.25">
      <c r="A44" s="10"/>
      <c r="B44" s="3"/>
      <c r="D44" s="4"/>
    </row>
    <row r="47" spans="1:5" x14ac:dyDescent="0.25">
      <c r="C47" s="3"/>
    </row>
    <row r="48" spans="1:5" x14ac:dyDescent="0.25">
      <c r="C48" s="2"/>
      <c r="D48" s="2"/>
      <c r="E48" s="2"/>
    </row>
    <row r="49" spans="1:6" x14ac:dyDescent="0.25">
      <c r="A49" s="32"/>
      <c r="B49" s="32"/>
      <c r="C49" s="2"/>
      <c r="D49" s="2"/>
      <c r="E49" s="13"/>
    </row>
    <row r="50" spans="1:6" x14ac:dyDescent="0.25">
      <c r="A50" s="32"/>
      <c r="B50" s="32"/>
      <c r="C50" s="7"/>
      <c r="D50" s="7"/>
    </row>
    <row r="55" spans="1:6" x14ac:dyDescent="0.25">
      <c r="A55" s="3"/>
      <c r="B55" s="33"/>
      <c r="C55" s="33"/>
      <c r="D55" s="16"/>
      <c r="E55" s="3"/>
      <c r="F55" s="3"/>
    </row>
    <row r="56" spans="1:6" x14ac:dyDescent="0.25">
      <c r="A56" s="14"/>
      <c r="B56" s="32"/>
      <c r="C56" s="32"/>
      <c r="D56" s="17"/>
      <c r="E56" s="17"/>
      <c r="F56" s="20"/>
    </row>
    <row r="57" spans="1:6" x14ac:dyDescent="0.25">
      <c r="A57" s="14"/>
      <c r="B57" s="32"/>
      <c r="C57" s="32"/>
      <c r="D57" s="17"/>
      <c r="E57" s="17"/>
      <c r="F57" s="20"/>
    </row>
    <row r="58" spans="1:6" x14ac:dyDescent="0.25">
      <c r="A58" s="14"/>
      <c r="B58" s="32"/>
      <c r="C58" s="32"/>
      <c r="D58" s="17"/>
      <c r="E58" s="17"/>
      <c r="F58" s="20"/>
    </row>
    <row r="59" spans="1:6" x14ac:dyDescent="0.25">
      <c r="A59" s="14"/>
      <c r="B59" s="32"/>
      <c r="C59" s="32"/>
      <c r="D59" s="17"/>
      <c r="E59" s="17"/>
      <c r="F59" s="20"/>
    </row>
    <row r="60" spans="1:6" x14ac:dyDescent="0.25">
      <c r="A60" s="14"/>
      <c r="B60" s="32"/>
      <c r="C60" s="32"/>
      <c r="D60" s="17"/>
      <c r="E60" s="17"/>
      <c r="F60" s="20"/>
    </row>
    <row r="61" spans="1:6" x14ac:dyDescent="0.25">
      <c r="A61" s="14"/>
      <c r="B61" s="32"/>
      <c r="C61" s="32"/>
      <c r="D61" s="17"/>
      <c r="E61" s="17"/>
      <c r="F61" s="20"/>
    </row>
    <row r="62" spans="1:6" x14ac:dyDescent="0.25">
      <c r="A62" s="14"/>
      <c r="B62" s="32"/>
      <c r="C62" s="32"/>
      <c r="D62" s="17"/>
      <c r="E62" s="17"/>
      <c r="F62" s="20"/>
    </row>
    <row r="63" spans="1:6" x14ac:dyDescent="0.25">
      <c r="A63" s="14"/>
      <c r="B63" s="32"/>
      <c r="C63" s="32"/>
      <c r="D63" s="17"/>
      <c r="E63" s="17"/>
      <c r="F63" s="20"/>
    </row>
    <row r="64" spans="1:6" x14ac:dyDescent="0.25">
      <c r="A64" s="14"/>
      <c r="B64" s="32"/>
      <c r="C64" s="32"/>
      <c r="D64" s="17"/>
      <c r="E64" s="17"/>
      <c r="F64" s="20"/>
    </row>
    <row r="65" spans="1:6" x14ac:dyDescent="0.25">
      <c r="A65" s="14"/>
      <c r="B65" s="32"/>
      <c r="C65" s="32"/>
      <c r="D65" s="17"/>
      <c r="E65" s="17"/>
      <c r="F65" s="20"/>
    </row>
    <row r="66" spans="1:6" x14ac:dyDescent="0.25">
      <c r="A66" s="14"/>
      <c r="B66" s="32"/>
      <c r="C66" s="32"/>
      <c r="D66" s="17"/>
      <c r="E66" s="17"/>
      <c r="F66" s="20"/>
    </row>
    <row r="67" spans="1:6" x14ac:dyDescent="0.25">
      <c r="A67" s="14"/>
      <c r="B67" s="32"/>
      <c r="C67" s="32"/>
      <c r="D67" s="17"/>
      <c r="E67" s="17"/>
      <c r="F67" s="20"/>
    </row>
    <row r="68" spans="1:6" x14ac:dyDescent="0.25">
      <c r="A68" s="14"/>
      <c r="B68" s="32"/>
      <c r="C68" s="32"/>
      <c r="D68" s="17"/>
      <c r="E68" s="17"/>
      <c r="F68" s="20"/>
    </row>
    <row r="69" spans="1:6" x14ac:dyDescent="0.25">
      <c r="A69" s="14"/>
      <c r="B69" s="32"/>
      <c r="C69" s="32"/>
      <c r="D69" s="15"/>
      <c r="E69" s="18"/>
      <c r="F69" s="20"/>
    </row>
    <row r="70" spans="1:6" x14ac:dyDescent="0.25">
      <c r="A70" s="14"/>
      <c r="B70" s="32"/>
      <c r="C70" s="32"/>
      <c r="D70" s="15"/>
      <c r="E70" s="18"/>
      <c r="F70" s="20"/>
    </row>
    <row r="71" spans="1:6" x14ac:dyDescent="0.25">
      <c r="A71" s="14"/>
      <c r="B71" s="32"/>
      <c r="C71" s="32"/>
      <c r="D71" s="15"/>
      <c r="E71" s="18"/>
      <c r="F71" s="20"/>
    </row>
    <row r="72" spans="1:6" x14ac:dyDescent="0.25">
      <c r="A72" s="14"/>
      <c r="B72" s="32"/>
      <c r="C72" s="32"/>
      <c r="D72" s="15"/>
      <c r="E72" s="18"/>
      <c r="F72" s="20"/>
    </row>
    <row r="73" spans="1:6" x14ac:dyDescent="0.25">
      <c r="A73" s="14"/>
      <c r="B73" s="32"/>
      <c r="C73" s="32"/>
      <c r="D73" s="15"/>
      <c r="E73" s="18"/>
      <c r="F73" s="20"/>
    </row>
    <row r="74" spans="1:6" x14ac:dyDescent="0.25">
      <c r="A74" s="14"/>
      <c r="B74" s="32"/>
      <c r="C74" s="32"/>
      <c r="D74" s="15"/>
      <c r="E74" s="18"/>
      <c r="F74" s="20"/>
    </row>
    <row r="75" spans="1:6" x14ac:dyDescent="0.25">
      <c r="A75" s="14"/>
      <c r="B75" s="32"/>
      <c r="C75" s="32"/>
      <c r="D75" s="15"/>
      <c r="E75" s="18"/>
      <c r="F75" s="20"/>
    </row>
    <row r="76" spans="1:6" x14ac:dyDescent="0.25">
      <c r="A76" s="14"/>
      <c r="B76" s="32"/>
      <c r="C76" s="32"/>
      <c r="D76" s="15"/>
      <c r="E76" s="18"/>
      <c r="F76" s="20"/>
    </row>
    <row r="77" spans="1:6" x14ac:dyDescent="0.25">
      <c r="A77" s="14"/>
      <c r="B77" s="32"/>
      <c r="C77" s="32"/>
      <c r="D77" s="15"/>
      <c r="E77" s="18"/>
      <c r="F77" s="20"/>
    </row>
    <row r="78" spans="1:6" x14ac:dyDescent="0.25">
      <c r="A78" s="14"/>
      <c r="B78" s="32"/>
      <c r="C78" s="32"/>
      <c r="D78" s="15"/>
      <c r="E78" s="18"/>
      <c r="F78" s="20"/>
    </row>
    <row r="79" spans="1:6" x14ac:dyDescent="0.25">
      <c r="A79" s="14"/>
      <c r="B79" s="32"/>
      <c r="C79" s="32"/>
      <c r="D79" s="15"/>
      <c r="E79" s="18"/>
      <c r="F79" s="20"/>
    </row>
    <row r="80" spans="1:6" x14ac:dyDescent="0.25">
      <c r="A80" s="14"/>
      <c r="B80" s="32"/>
      <c r="C80" s="32"/>
      <c r="D80" s="15"/>
      <c r="E80" s="18"/>
      <c r="F80" s="20"/>
    </row>
    <row r="81" spans="1:6" x14ac:dyDescent="0.25">
      <c r="A81" s="14"/>
      <c r="B81" s="32"/>
      <c r="C81" s="32"/>
      <c r="D81" s="15"/>
      <c r="E81" s="18"/>
      <c r="F81" s="20"/>
    </row>
  </sheetData>
  <mergeCells count="29">
    <mergeCell ref="B78:C78"/>
    <mergeCell ref="B79:C79"/>
    <mergeCell ref="B80:C80"/>
    <mergeCell ref="B81:C81"/>
    <mergeCell ref="B73:C73"/>
    <mergeCell ref="B74:C74"/>
    <mergeCell ref="B75:C75"/>
    <mergeCell ref="B76:C76"/>
    <mergeCell ref="B77:C77"/>
    <mergeCell ref="B68:C68"/>
    <mergeCell ref="B69:C69"/>
    <mergeCell ref="B70:C70"/>
    <mergeCell ref="B71:C71"/>
    <mergeCell ref="B72:C72"/>
    <mergeCell ref="B63:C63"/>
    <mergeCell ref="B64:C64"/>
    <mergeCell ref="B65:C65"/>
    <mergeCell ref="B66:C66"/>
    <mergeCell ref="B67:C67"/>
    <mergeCell ref="B59:C59"/>
    <mergeCell ref="B60:C60"/>
    <mergeCell ref="B61:C61"/>
    <mergeCell ref="B62:C62"/>
    <mergeCell ref="B58:C58"/>
    <mergeCell ref="B57:C57"/>
    <mergeCell ref="A49:B49"/>
    <mergeCell ref="A50:B50"/>
    <mergeCell ref="B55:C55"/>
    <mergeCell ref="B56:C5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41"/>
  <sheetViews>
    <sheetView workbookViewId="0">
      <selection activeCell="C2" sqref="C2:C9"/>
    </sheetView>
  </sheetViews>
  <sheetFormatPr defaultRowHeight="15" x14ac:dyDescent="0.25"/>
  <cols>
    <col min="1" max="1" width="11.7109375" customWidth="1"/>
    <col min="2" max="2" width="10.85546875" customWidth="1"/>
    <col min="3" max="3" width="12.7109375" customWidth="1"/>
    <col min="4" max="4" width="20.5703125" customWidth="1"/>
    <col min="5" max="5" width="17" customWidth="1"/>
  </cols>
  <sheetData>
    <row r="1" spans="1:5" x14ac:dyDescent="0.25">
      <c r="A1" s="25" t="s">
        <v>0</v>
      </c>
      <c r="B1" s="25" t="s">
        <v>1</v>
      </c>
      <c r="C1" s="26" t="s">
        <v>2</v>
      </c>
      <c r="D1" s="26" t="s">
        <v>3</v>
      </c>
    </row>
    <row r="2" spans="1:5" x14ac:dyDescent="0.25">
      <c r="A2" s="2" t="s">
        <v>43</v>
      </c>
      <c r="B2" s="2">
        <v>48.19</v>
      </c>
      <c r="C2" s="6">
        <v>0.989068193649141</v>
      </c>
      <c r="D2" s="24">
        <f>B2*C2/100</f>
        <v>0.476631962519521</v>
      </c>
    </row>
    <row r="3" spans="1:5" x14ac:dyDescent="0.25">
      <c r="A3" s="2" t="s">
        <v>44</v>
      </c>
      <c r="B3" s="2">
        <v>3.24</v>
      </c>
      <c r="C3" s="6">
        <v>1.8626309662398099</v>
      </c>
      <c r="D3" s="24">
        <f t="shared" ref="D3:D9" si="0">B3*C3/100</f>
        <v>6.0349243306169843E-2</v>
      </c>
    </row>
    <row r="4" spans="1:5" x14ac:dyDescent="0.25">
      <c r="A4" s="2" t="s">
        <v>45</v>
      </c>
      <c r="B4" s="2">
        <v>0.26</v>
      </c>
      <c r="C4" s="6">
        <v>1.4402003757044399</v>
      </c>
      <c r="D4" s="24">
        <f t="shared" si="0"/>
        <v>3.7445209768315439E-3</v>
      </c>
    </row>
    <row r="5" spans="1:5" x14ac:dyDescent="0.25">
      <c r="A5" s="2" t="s">
        <v>46</v>
      </c>
      <c r="B5" s="2">
        <v>28.45</v>
      </c>
      <c r="C5" s="2">
        <v>0.84</v>
      </c>
      <c r="D5" s="24">
        <f t="shared" si="0"/>
        <v>0.23898</v>
      </c>
    </row>
    <row r="6" spans="1:5" x14ac:dyDescent="0.25">
      <c r="A6" s="2" t="s">
        <v>47</v>
      </c>
      <c r="B6" s="2">
        <v>5.29</v>
      </c>
      <c r="C6" s="2">
        <v>0.12</v>
      </c>
      <c r="D6" s="24">
        <f t="shared" si="0"/>
        <v>6.3480000000000003E-3</v>
      </c>
    </row>
    <row r="7" spans="1:5" x14ac:dyDescent="0.25">
      <c r="A7" s="2" t="s">
        <v>48</v>
      </c>
      <c r="B7" s="2">
        <v>0.38</v>
      </c>
      <c r="C7" s="2">
        <v>-4.84</v>
      </c>
      <c r="D7" s="24">
        <f t="shared" si="0"/>
        <v>-1.8391999999999999E-2</v>
      </c>
    </row>
    <row r="8" spans="1:5" x14ac:dyDescent="0.25">
      <c r="A8" s="2" t="s">
        <v>49</v>
      </c>
      <c r="B8" s="2">
        <v>0.13</v>
      </c>
      <c r="C8" s="2">
        <v>0.1</v>
      </c>
      <c r="D8" s="24">
        <f t="shared" si="0"/>
        <v>1.3000000000000002E-4</v>
      </c>
    </row>
    <row r="9" spans="1:5" x14ac:dyDescent="0.25">
      <c r="A9" s="2" t="s">
        <v>50</v>
      </c>
      <c r="B9" s="2">
        <v>0.03</v>
      </c>
      <c r="C9" s="2">
        <v>7.0000000000000007E-2</v>
      </c>
      <c r="D9" s="24">
        <f t="shared" si="0"/>
        <v>2.1000000000000002E-5</v>
      </c>
      <c r="E9" s="2"/>
    </row>
    <row r="10" spans="1:5" x14ac:dyDescent="0.25">
      <c r="A10" s="29" t="s">
        <v>24</v>
      </c>
      <c r="B10" s="27">
        <f>B2++B3+B4+B5+B6+B7+B8+B9</f>
        <v>85.97</v>
      </c>
      <c r="C10" s="2"/>
      <c r="D10" s="28">
        <f>D2+D3+D4+D5+D6+D7+D8+D9</f>
        <v>0.76781272680252244</v>
      </c>
      <c r="E10" s="13"/>
    </row>
    <row r="11" spans="1:5" x14ac:dyDescent="0.25">
      <c r="A11" s="32"/>
      <c r="B11" s="32"/>
      <c r="C11" s="8"/>
      <c r="D11" s="8"/>
    </row>
    <row r="31" spans="1:6" x14ac:dyDescent="0.25">
      <c r="A31" s="3"/>
      <c r="B31" s="33"/>
      <c r="C31" s="33"/>
      <c r="D31" s="16"/>
      <c r="E31" s="3"/>
      <c r="F31" s="3"/>
    </row>
    <row r="32" spans="1:6" x14ac:dyDescent="0.25">
      <c r="A32" s="19"/>
      <c r="B32" s="32"/>
      <c r="C32" s="32"/>
      <c r="D32" s="17"/>
      <c r="E32" s="17"/>
      <c r="F32" s="20"/>
    </row>
    <row r="33" spans="1:6" x14ac:dyDescent="0.25">
      <c r="A33" s="19"/>
      <c r="B33" s="32"/>
      <c r="C33" s="32"/>
      <c r="D33" s="17"/>
      <c r="E33" s="17"/>
      <c r="F33" s="20"/>
    </row>
    <row r="34" spans="1:6" x14ac:dyDescent="0.25">
      <c r="A34" s="19"/>
      <c r="B34" s="32"/>
      <c r="C34" s="32"/>
      <c r="D34" s="17"/>
      <c r="E34" s="17"/>
      <c r="F34" s="20"/>
    </row>
    <row r="35" spans="1:6" x14ac:dyDescent="0.25">
      <c r="A35" s="19"/>
      <c r="B35" s="32"/>
      <c r="C35" s="32"/>
      <c r="D35" s="17"/>
      <c r="E35" s="17"/>
      <c r="F35" s="20"/>
    </row>
    <row r="36" spans="1:6" x14ac:dyDescent="0.25">
      <c r="A36" s="19"/>
      <c r="B36" s="32"/>
      <c r="C36" s="32"/>
      <c r="D36" s="17"/>
      <c r="E36" s="17"/>
      <c r="F36" s="20"/>
    </row>
    <row r="37" spans="1:6" x14ac:dyDescent="0.25">
      <c r="A37" s="19"/>
      <c r="B37" s="32"/>
      <c r="C37" s="32"/>
      <c r="D37" s="17"/>
      <c r="E37" s="17"/>
      <c r="F37" s="20"/>
    </row>
    <row r="38" spans="1:6" x14ac:dyDescent="0.25">
      <c r="A38" s="19"/>
      <c r="B38" s="32"/>
      <c r="C38" s="32"/>
      <c r="D38" s="17"/>
      <c r="E38" s="17"/>
      <c r="F38" s="20"/>
    </row>
    <row r="39" spans="1:6" x14ac:dyDescent="0.25">
      <c r="A39" s="19"/>
      <c r="B39" s="32"/>
      <c r="C39" s="32"/>
      <c r="D39" s="17"/>
      <c r="E39" s="17"/>
      <c r="F39" s="20"/>
    </row>
    <row r="40" spans="1:6" x14ac:dyDescent="0.25">
      <c r="A40" s="19"/>
      <c r="B40" s="32"/>
      <c r="C40" s="32"/>
      <c r="D40" s="17"/>
      <c r="E40" s="17"/>
      <c r="F40" s="20"/>
    </row>
    <row r="41" spans="1:6" x14ac:dyDescent="0.25">
      <c r="A41" s="19"/>
      <c r="B41" s="32"/>
      <c r="C41" s="32"/>
      <c r="D41" s="17"/>
      <c r="E41" s="17"/>
      <c r="F41" s="20"/>
    </row>
    <row r="42" spans="1:6" x14ac:dyDescent="0.25">
      <c r="A42" s="19"/>
      <c r="B42" s="32"/>
      <c r="C42" s="32"/>
      <c r="D42" s="17"/>
      <c r="E42" s="17"/>
      <c r="F42" s="20"/>
    </row>
    <row r="43" spans="1:6" x14ac:dyDescent="0.25">
      <c r="A43" s="19"/>
      <c r="B43" s="32"/>
      <c r="C43" s="32"/>
      <c r="D43" s="17"/>
      <c r="E43" s="17"/>
      <c r="F43" s="20"/>
    </row>
    <row r="44" spans="1:6" x14ac:dyDescent="0.25">
      <c r="A44" s="19"/>
      <c r="B44" s="32"/>
      <c r="C44" s="32"/>
      <c r="D44" s="17"/>
      <c r="E44" s="17"/>
      <c r="F44" s="20"/>
    </row>
    <row r="45" spans="1:6" x14ac:dyDescent="0.25">
      <c r="A45" s="19"/>
      <c r="B45" s="32"/>
      <c r="C45" s="32"/>
      <c r="D45" s="17"/>
      <c r="E45" s="17"/>
      <c r="F45" s="20"/>
    </row>
    <row r="46" spans="1:6" x14ac:dyDescent="0.25">
      <c r="A46" s="19"/>
      <c r="B46" s="32"/>
      <c r="C46" s="32"/>
      <c r="D46" s="17"/>
      <c r="E46" s="17"/>
      <c r="F46" s="20"/>
    </row>
    <row r="47" spans="1:6" x14ac:dyDescent="0.25">
      <c r="A47" s="19"/>
      <c r="B47" s="32"/>
      <c r="C47" s="32"/>
      <c r="D47" s="17"/>
      <c r="E47" s="17"/>
      <c r="F47" s="20"/>
    </row>
    <row r="48" spans="1:6" x14ac:dyDescent="0.25">
      <c r="A48" s="19"/>
      <c r="B48" s="32"/>
      <c r="C48" s="32"/>
      <c r="D48" s="17"/>
      <c r="E48" s="17"/>
      <c r="F48" s="20"/>
    </row>
    <row r="49" spans="1:6" x14ac:dyDescent="0.25">
      <c r="A49" s="19"/>
      <c r="B49" s="32"/>
      <c r="C49" s="32"/>
      <c r="D49" s="17"/>
      <c r="E49" s="17"/>
      <c r="F49" s="20"/>
    </row>
    <row r="50" spans="1:6" x14ac:dyDescent="0.25">
      <c r="A50" s="19"/>
      <c r="B50" s="32"/>
      <c r="C50" s="32"/>
      <c r="D50" s="17"/>
      <c r="E50" s="17"/>
      <c r="F50" s="20"/>
    </row>
    <row r="51" spans="1:6" x14ac:dyDescent="0.25">
      <c r="A51" s="19"/>
      <c r="B51" s="32"/>
      <c r="C51" s="32"/>
      <c r="D51" s="17"/>
      <c r="E51" s="17"/>
      <c r="F51" s="20"/>
    </row>
    <row r="52" spans="1:6" x14ac:dyDescent="0.25">
      <c r="A52" s="19"/>
      <c r="B52" s="32"/>
      <c r="C52" s="32"/>
      <c r="D52" s="17"/>
      <c r="E52" s="17"/>
      <c r="F52" s="20"/>
    </row>
    <row r="53" spans="1:6" x14ac:dyDescent="0.25">
      <c r="A53" s="19"/>
      <c r="B53" s="32"/>
      <c r="C53" s="32"/>
      <c r="D53" s="17"/>
      <c r="E53" s="17"/>
      <c r="F53" s="20"/>
    </row>
    <row r="54" spans="1:6" x14ac:dyDescent="0.25">
      <c r="A54" s="19"/>
      <c r="B54" s="32"/>
      <c r="C54" s="32"/>
      <c r="D54" s="17"/>
      <c r="E54" s="17"/>
      <c r="F54" s="20"/>
    </row>
    <row r="55" spans="1:6" x14ac:dyDescent="0.25">
      <c r="A55" s="19"/>
      <c r="B55" s="32"/>
      <c r="C55" s="32"/>
      <c r="D55" s="17"/>
      <c r="E55" s="17"/>
      <c r="F55" s="20"/>
    </row>
    <row r="56" spans="1:6" x14ac:dyDescent="0.25">
      <c r="A56" s="19"/>
      <c r="B56" s="32"/>
      <c r="C56" s="32"/>
      <c r="D56" s="17"/>
      <c r="E56" s="17"/>
      <c r="F56" s="20"/>
    </row>
    <row r="57" spans="1:6" x14ac:dyDescent="0.25">
      <c r="A57" s="19"/>
      <c r="B57" s="32"/>
      <c r="C57" s="32"/>
      <c r="D57" s="17"/>
      <c r="E57" s="17"/>
      <c r="F57" s="20"/>
    </row>
    <row r="58" spans="1:6" x14ac:dyDescent="0.25">
      <c r="A58" s="19"/>
      <c r="B58" s="32"/>
      <c r="C58" s="32"/>
      <c r="D58" s="17"/>
      <c r="E58" s="17"/>
      <c r="F58" s="20"/>
    </row>
    <row r="59" spans="1:6" x14ac:dyDescent="0.25">
      <c r="A59" s="19"/>
      <c r="B59" s="32"/>
      <c r="C59" s="32"/>
      <c r="D59" s="17"/>
      <c r="E59" s="17"/>
      <c r="F59" s="20"/>
    </row>
    <row r="60" spans="1:6" x14ac:dyDescent="0.25">
      <c r="A60" s="19"/>
      <c r="B60" s="32"/>
      <c r="C60" s="32"/>
      <c r="D60" s="17"/>
      <c r="E60" s="17"/>
      <c r="F60" s="20"/>
    </row>
    <row r="61" spans="1:6" x14ac:dyDescent="0.25">
      <c r="A61" s="19"/>
      <c r="B61" s="32"/>
      <c r="C61" s="32"/>
      <c r="D61" s="17"/>
      <c r="E61" s="17"/>
      <c r="F61" s="20"/>
    </row>
    <row r="62" spans="1:6" x14ac:dyDescent="0.25">
      <c r="A62" s="19"/>
      <c r="B62" s="32"/>
      <c r="C62" s="32"/>
      <c r="D62" s="17"/>
      <c r="E62" s="17"/>
      <c r="F62" s="20"/>
    </row>
    <row r="63" spans="1:6" x14ac:dyDescent="0.25">
      <c r="A63" s="19"/>
      <c r="B63" s="32"/>
      <c r="C63" s="32"/>
      <c r="D63" s="17"/>
      <c r="E63" s="17"/>
      <c r="F63" s="20"/>
    </row>
    <row r="64" spans="1:6" x14ac:dyDescent="0.25">
      <c r="A64" s="19"/>
      <c r="B64" s="32"/>
      <c r="C64" s="32"/>
      <c r="D64" s="17"/>
      <c r="E64" s="17"/>
      <c r="F64" s="20"/>
    </row>
    <row r="65" spans="1:6" x14ac:dyDescent="0.25">
      <c r="A65" s="19"/>
      <c r="B65" s="32"/>
      <c r="C65" s="32"/>
      <c r="D65" s="17"/>
      <c r="E65" s="17"/>
      <c r="F65" s="20"/>
    </row>
    <row r="66" spans="1:6" x14ac:dyDescent="0.25">
      <c r="A66" s="19"/>
      <c r="B66" s="32"/>
      <c r="C66" s="32"/>
      <c r="D66" s="17"/>
      <c r="E66" s="17"/>
      <c r="F66" s="20"/>
    </row>
    <row r="67" spans="1:6" x14ac:dyDescent="0.25">
      <c r="A67" s="19"/>
      <c r="B67" s="32"/>
      <c r="C67" s="32"/>
      <c r="D67" s="17"/>
      <c r="E67" s="17"/>
      <c r="F67" s="20"/>
    </row>
    <row r="68" spans="1:6" x14ac:dyDescent="0.25">
      <c r="A68" s="19"/>
      <c r="B68" s="32"/>
      <c r="C68" s="32"/>
      <c r="D68" s="17"/>
      <c r="E68" s="17"/>
      <c r="F68" s="20"/>
    </row>
    <row r="69" spans="1:6" x14ac:dyDescent="0.25">
      <c r="A69" s="19"/>
      <c r="B69" s="32"/>
      <c r="C69" s="32"/>
      <c r="D69" s="17"/>
      <c r="E69" s="17"/>
      <c r="F69" s="20"/>
    </row>
    <row r="70" spans="1:6" x14ac:dyDescent="0.25">
      <c r="A70" s="19"/>
      <c r="B70" s="32"/>
      <c r="C70" s="32"/>
      <c r="D70" s="17"/>
      <c r="E70" s="17"/>
      <c r="F70" s="20"/>
    </row>
    <row r="71" spans="1:6" x14ac:dyDescent="0.25">
      <c r="A71" s="19"/>
      <c r="B71" s="32"/>
      <c r="C71" s="32"/>
      <c r="D71" s="17"/>
      <c r="E71" s="17"/>
      <c r="F71" s="20"/>
    </row>
    <row r="72" spans="1:6" x14ac:dyDescent="0.25">
      <c r="A72" s="19"/>
      <c r="B72" s="32"/>
      <c r="C72" s="32"/>
      <c r="D72" s="17"/>
      <c r="E72" s="17"/>
      <c r="F72" s="20"/>
    </row>
    <row r="73" spans="1:6" x14ac:dyDescent="0.25">
      <c r="A73" s="19"/>
      <c r="B73" s="32"/>
      <c r="C73" s="32"/>
      <c r="D73" s="17"/>
      <c r="E73" s="17"/>
      <c r="F73" s="20"/>
    </row>
    <row r="74" spans="1:6" x14ac:dyDescent="0.25">
      <c r="A74" s="19"/>
      <c r="B74" s="32"/>
      <c r="C74" s="32"/>
      <c r="D74" s="17"/>
      <c r="E74" s="17"/>
      <c r="F74" s="20"/>
    </row>
    <row r="75" spans="1:6" x14ac:dyDescent="0.25">
      <c r="A75" s="19"/>
      <c r="B75" s="32"/>
      <c r="C75" s="32"/>
      <c r="D75" s="17"/>
      <c r="E75" s="17"/>
      <c r="F75" s="20"/>
    </row>
    <row r="76" spans="1:6" x14ac:dyDescent="0.25">
      <c r="A76" s="19"/>
      <c r="B76" s="32"/>
      <c r="C76" s="32"/>
      <c r="D76" s="17"/>
      <c r="E76" s="17"/>
      <c r="F76" s="20"/>
    </row>
    <row r="77" spans="1:6" x14ac:dyDescent="0.25">
      <c r="A77" s="19"/>
      <c r="B77" s="32"/>
      <c r="C77" s="32"/>
      <c r="D77" s="17"/>
      <c r="E77" s="17"/>
      <c r="F77" s="20"/>
    </row>
    <row r="78" spans="1:6" x14ac:dyDescent="0.25">
      <c r="A78" s="19"/>
      <c r="B78" s="32"/>
      <c r="C78" s="32"/>
      <c r="D78" s="17"/>
      <c r="E78" s="17"/>
      <c r="F78" s="20"/>
    </row>
    <row r="79" spans="1:6" x14ac:dyDescent="0.25">
      <c r="A79" s="19"/>
      <c r="B79" s="32"/>
      <c r="C79" s="32"/>
      <c r="D79" s="17"/>
      <c r="E79" s="17"/>
      <c r="F79" s="20"/>
    </row>
    <row r="80" spans="1:6" x14ac:dyDescent="0.25">
      <c r="A80" s="19"/>
      <c r="B80" s="32"/>
      <c r="C80" s="32"/>
      <c r="D80" s="17"/>
      <c r="E80" s="17"/>
      <c r="F80" s="20"/>
    </row>
    <row r="81" spans="1:6" x14ac:dyDescent="0.25">
      <c r="A81" s="19"/>
      <c r="B81" s="32"/>
      <c r="C81" s="32"/>
      <c r="D81" s="17"/>
      <c r="E81" s="17"/>
      <c r="F81" s="20"/>
    </row>
    <row r="82" spans="1:6" x14ac:dyDescent="0.25">
      <c r="A82" s="19"/>
      <c r="B82" s="32"/>
      <c r="C82" s="32"/>
      <c r="D82" s="17"/>
      <c r="E82" s="17"/>
      <c r="F82" s="20"/>
    </row>
    <row r="83" spans="1:6" x14ac:dyDescent="0.25">
      <c r="A83" s="19"/>
      <c r="B83" s="32"/>
      <c r="C83" s="32"/>
      <c r="D83" s="17"/>
      <c r="E83" s="17"/>
      <c r="F83" s="20"/>
    </row>
    <row r="84" spans="1:6" x14ac:dyDescent="0.25">
      <c r="A84" s="19"/>
      <c r="B84" s="32"/>
      <c r="C84" s="32"/>
      <c r="D84" s="17"/>
      <c r="E84" s="17"/>
      <c r="F84" s="20"/>
    </row>
    <row r="85" spans="1:6" x14ac:dyDescent="0.25">
      <c r="A85" s="19"/>
      <c r="B85" s="32"/>
      <c r="C85" s="32"/>
      <c r="D85" s="17"/>
      <c r="E85" s="17"/>
      <c r="F85" s="20"/>
    </row>
    <row r="86" spans="1:6" x14ac:dyDescent="0.25">
      <c r="A86" s="19"/>
      <c r="B86" s="32"/>
      <c r="C86" s="32"/>
      <c r="D86" s="17"/>
      <c r="E86" s="17"/>
      <c r="F86" s="20"/>
    </row>
    <row r="87" spans="1:6" x14ac:dyDescent="0.25">
      <c r="A87" s="19"/>
      <c r="B87" s="32"/>
      <c r="C87" s="32"/>
      <c r="D87" s="17"/>
      <c r="E87" s="17"/>
      <c r="F87" s="20"/>
    </row>
    <row r="88" spans="1:6" x14ac:dyDescent="0.25">
      <c r="A88" s="19"/>
      <c r="B88" s="32"/>
      <c r="C88" s="32"/>
      <c r="D88" s="17"/>
      <c r="E88" s="17"/>
      <c r="F88" s="20"/>
    </row>
    <row r="89" spans="1:6" x14ac:dyDescent="0.25">
      <c r="A89" s="19"/>
      <c r="B89" s="32"/>
      <c r="C89" s="32"/>
      <c r="D89" s="17"/>
      <c r="E89" s="17"/>
      <c r="F89" s="20"/>
    </row>
    <row r="90" spans="1:6" x14ac:dyDescent="0.25">
      <c r="A90" s="19"/>
      <c r="B90" s="32"/>
      <c r="C90" s="32"/>
      <c r="D90" s="17"/>
      <c r="E90" s="17"/>
      <c r="F90" s="20"/>
    </row>
    <row r="91" spans="1:6" x14ac:dyDescent="0.25">
      <c r="A91" s="19"/>
      <c r="B91" s="32"/>
      <c r="C91" s="32"/>
      <c r="D91" s="17"/>
      <c r="E91" s="17"/>
      <c r="F91" s="20"/>
    </row>
    <row r="92" spans="1:6" x14ac:dyDescent="0.25">
      <c r="A92" s="19"/>
      <c r="B92" s="32"/>
      <c r="C92" s="32"/>
      <c r="D92" s="17"/>
      <c r="E92" s="17"/>
      <c r="F92" s="20"/>
    </row>
    <row r="93" spans="1:6" x14ac:dyDescent="0.25">
      <c r="A93" s="19"/>
      <c r="B93" s="32"/>
      <c r="C93" s="32"/>
      <c r="D93" s="17"/>
      <c r="E93" s="17"/>
      <c r="F93" s="20"/>
    </row>
    <row r="94" spans="1:6" x14ac:dyDescent="0.25">
      <c r="A94" s="19"/>
      <c r="B94" s="32"/>
      <c r="C94" s="32"/>
      <c r="D94" s="17"/>
      <c r="E94" s="17"/>
      <c r="F94" s="20"/>
    </row>
    <row r="95" spans="1:6" x14ac:dyDescent="0.25">
      <c r="A95" s="19"/>
      <c r="B95" s="32"/>
      <c r="C95" s="32"/>
      <c r="D95" s="17"/>
      <c r="E95" s="17"/>
      <c r="F95" s="20"/>
    </row>
    <row r="96" spans="1:6" x14ac:dyDescent="0.25">
      <c r="A96" s="19"/>
      <c r="B96" s="32"/>
      <c r="C96" s="32"/>
      <c r="D96" s="17"/>
      <c r="E96" s="17"/>
      <c r="F96" s="20"/>
    </row>
    <row r="97" spans="1:6" x14ac:dyDescent="0.25">
      <c r="A97" s="19"/>
      <c r="B97" s="32"/>
      <c r="C97" s="32"/>
      <c r="D97" s="17"/>
      <c r="E97" s="17"/>
      <c r="F97" s="20"/>
    </row>
    <row r="98" spans="1:6" x14ac:dyDescent="0.25">
      <c r="A98" s="19"/>
      <c r="B98" s="32"/>
      <c r="C98" s="32"/>
      <c r="D98" s="17"/>
      <c r="E98" s="17"/>
      <c r="F98" s="20"/>
    </row>
    <row r="99" spans="1:6" x14ac:dyDescent="0.25">
      <c r="A99" s="19"/>
      <c r="B99" s="32"/>
      <c r="C99" s="32"/>
      <c r="D99" s="17"/>
      <c r="E99" s="17"/>
      <c r="F99" s="20"/>
    </row>
    <row r="100" spans="1:6" x14ac:dyDescent="0.25">
      <c r="A100" s="19"/>
      <c r="B100" s="32"/>
      <c r="C100" s="32"/>
      <c r="D100" s="17"/>
      <c r="E100" s="17"/>
      <c r="F100" s="20"/>
    </row>
    <row r="101" spans="1:6" x14ac:dyDescent="0.25">
      <c r="A101" s="19"/>
      <c r="B101" s="32"/>
      <c r="C101" s="32"/>
      <c r="D101" s="17"/>
      <c r="E101" s="17"/>
      <c r="F101" s="20"/>
    </row>
    <row r="102" spans="1:6" x14ac:dyDescent="0.25">
      <c r="A102" s="19"/>
      <c r="B102" s="32"/>
      <c r="C102" s="32"/>
      <c r="D102" s="17"/>
      <c r="E102" s="17"/>
      <c r="F102" s="20"/>
    </row>
    <row r="103" spans="1:6" x14ac:dyDescent="0.25">
      <c r="A103" s="19"/>
      <c r="B103" s="32"/>
      <c r="C103" s="32"/>
      <c r="D103" s="17"/>
      <c r="E103" s="17"/>
      <c r="F103" s="20"/>
    </row>
    <row r="104" spans="1:6" x14ac:dyDescent="0.25">
      <c r="A104" s="19"/>
      <c r="B104" s="32"/>
      <c r="C104" s="32"/>
      <c r="D104" s="17"/>
      <c r="E104" s="17"/>
      <c r="F104" s="20"/>
    </row>
    <row r="105" spans="1:6" x14ac:dyDescent="0.25">
      <c r="A105" s="19"/>
      <c r="B105" s="32"/>
      <c r="C105" s="32"/>
      <c r="D105" s="17"/>
      <c r="E105" s="17"/>
      <c r="F105" s="20"/>
    </row>
    <row r="106" spans="1:6" x14ac:dyDescent="0.25">
      <c r="A106" s="19"/>
      <c r="B106" s="32"/>
      <c r="C106" s="32"/>
      <c r="D106" s="17"/>
      <c r="E106" s="17"/>
      <c r="F106" s="20"/>
    </row>
    <row r="107" spans="1:6" x14ac:dyDescent="0.25">
      <c r="A107" s="19"/>
      <c r="B107" s="32"/>
      <c r="C107" s="32"/>
      <c r="D107" s="17"/>
      <c r="E107" s="17"/>
      <c r="F107" s="20"/>
    </row>
    <row r="108" spans="1:6" x14ac:dyDescent="0.25">
      <c r="A108" s="19"/>
      <c r="B108" s="32"/>
      <c r="C108" s="32"/>
      <c r="D108" s="17"/>
      <c r="E108" s="17"/>
      <c r="F108" s="20"/>
    </row>
    <row r="109" spans="1:6" x14ac:dyDescent="0.25">
      <c r="A109" s="19"/>
      <c r="B109" s="32"/>
      <c r="C109" s="32"/>
      <c r="D109" s="17"/>
      <c r="E109" s="17"/>
      <c r="F109" s="20"/>
    </row>
    <row r="110" spans="1:6" x14ac:dyDescent="0.25">
      <c r="A110" s="19"/>
      <c r="B110" s="32"/>
      <c r="C110" s="32"/>
      <c r="D110" s="17"/>
      <c r="E110" s="17"/>
      <c r="F110" s="20"/>
    </row>
    <row r="111" spans="1:6" x14ac:dyDescent="0.25">
      <c r="A111" s="19"/>
      <c r="B111" s="32"/>
      <c r="C111" s="32"/>
      <c r="D111" s="17"/>
      <c r="E111" s="17"/>
      <c r="F111" s="20"/>
    </row>
    <row r="112" spans="1:6" x14ac:dyDescent="0.25">
      <c r="A112" s="19"/>
      <c r="B112" s="32"/>
      <c r="C112" s="32"/>
      <c r="D112" s="17"/>
      <c r="E112" s="17"/>
      <c r="F112" s="20"/>
    </row>
    <row r="113" spans="1:6" x14ac:dyDescent="0.25">
      <c r="A113" s="19"/>
      <c r="B113" s="32"/>
      <c r="C113" s="32"/>
      <c r="D113" s="17"/>
      <c r="E113" s="17"/>
      <c r="F113" s="20"/>
    </row>
    <row r="114" spans="1:6" x14ac:dyDescent="0.25">
      <c r="A114" s="19"/>
      <c r="B114" s="32"/>
      <c r="C114" s="32"/>
      <c r="D114" s="17"/>
      <c r="E114" s="17"/>
      <c r="F114" s="20"/>
    </row>
    <row r="115" spans="1:6" x14ac:dyDescent="0.25">
      <c r="A115" s="19"/>
      <c r="B115" s="32"/>
      <c r="C115" s="32"/>
      <c r="D115" s="17"/>
      <c r="E115" s="17"/>
      <c r="F115" s="20"/>
    </row>
    <row r="116" spans="1:6" x14ac:dyDescent="0.25">
      <c r="A116" s="19"/>
      <c r="B116" s="32"/>
      <c r="C116" s="32"/>
      <c r="D116" s="17"/>
      <c r="E116" s="17"/>
      <c r="F116" s="20"/>
    </row>
    <row r="117" spans="1:6" x14ac:dyDescent="0.25">
      <c r="A117" s="19"/>
      <c r="B117" s="32"/>
      <c r="C117" s="32"/>
      <c r="D117" s="17"/>
      <c r="E117" s="17"/>
      <c r="F117" s="20"/>
    </row>
    <row r="118" spans="1:6" x14ac:dyDescent="0.25">
      <c r="A118" s="19"/>
      <c r="B118" s="32"/>
      <c r="C118" s="32"/>
      <c r="D118" s="17"/>
      <c r="E118" s="17"/>
      <c r="F118" s="20"/>
    </row>
    <row r="119" spans="1:6" x14ac:dyDescent="0.25">
      <c r="A119" s="19"/>
      <c r="B119" s="32"/>
      <c r="C119" s="32"/>
      <c r="D119" s="17"/>
      <c r="E119" s="17"/>
      <c r="F119" s="20"/>
    </row>
    <row r="120" spans="1:6" x14ac:dyDescent="0.25">
      <c r="A120" s="19"/>
      <c r="B120" s="32"/>
      <c r="C120" s="32"/>
      <c r="D120" s="17"/>
      <c r="E120" s="17"/>
      <c r="F120" s="20"/>
    </row>
    <row r="121" spans="1:6" x14ac:dyDescent="0.25">
      <c r="A121" s="19"/>
      <c r="B121" s="32"/>
      <c r="C121" s="32"/>
      <c r="D121" s="17"/>
      <c r="E121" s="17"/>
      <c r="F121" s="20"/>
    </row>
    <row r="122" spans="1:6" x14ac:dyDescent="0.25">
      <c r="A122" s="19"/>
      <c r="B122" s="32"/>
      <c r="C122" s="32"/>
      <c r="D122" s="17"/>
      <c r="E122" s="17"/>
      <c r="F122" s="20"/>
    </row>
    <row r="123" spans="1:6" x14ac:dyDescent="0.25">
      <c r="A123" s="19"/>
      <c r="B123" s="32"/>
      <c r="C123" s="32"/>
      <c r="D123" s="17"/>
      <c r="E123" s="17"/>
      <c r="F123" s="20"/>
    </row>
    <row r="124" spans="1:6" x14ac:dyDescent="0.25">
      <c r="A124" s="19"/>
      <c r="B124" s="32"/>
      <c r="C124" s="32"/>
      <c r="D124" s="17"/>
      <c r="E124" s="17"/>
      <c r="F124" s="20"/>
    </row>
    <row r="125" spans="1:6" x14ac:dyDescent="0.25">
      <c r="A125" s="19"/>
      <c r="B125" s="32"/>
      <c r="C125" s="32"/>
      <c r="D125" s="17"/>
      <c r="E125" s="17"/>
      <c r="F125" s="20"/>
    </row>
    <row r="126" spans="1:6" x14ac:dyDescent="0.25">
      <c r="A126" s="19"/>
      <c r="B126" s="32"/>
      <c r="C126" s="32"/>
      <c r="D126" s="17"/>
      <c r="E126" s="17"/>
      <c r="F126" s="20"/>
    </row>
    <row r="127" spans="1:6" x14ac:dyDescent="0.25">
      <c r="A127" s="19"/>
      <c r="B127" s="32"/>
      <c r="C127" s="32"/>
      <c r="D127" s="17"/>
      <c r="E127" s="17"/>
      <c r="F127" s="20"/>
    </row>
    <row r="128" spans="1:6" x14ac:dyDescent="0.25">
      <c r="A128" s="19"/>
      <c r="B128" s="32"/>
      <c r="C128" s="32"/>
      <c r="D128" s="17"/>
      <c r="E128" s="17"/>
      <c r="F128" s="20"/>
    </row>
    <row r="129" spans="1:6" x14ac:dyDescent="0.25">
      <c r="A129" s="19"/>
      <c r="B129" s="32"/>
      <c r="C129" s="32"/>
      <c r="D129" s="17"/>
      <c r="E129" s="17"/>
      <c r="F129" s="20"/>
    </row>
    <row r="130" spans="1:6" x14ac:dyDescent="0.25">
      <c r="A130" s="19"/>
      <c r="B130" s="32"/>
      <c r="C130" s="32"/>
      <c r="D130" s="17"/>
      <c r="E130" s="17"/>
      <c r="F130" s="20"/>
    </row>
    <row r="131" spans="1:6" x14ac:dyDescent="0.25">
      <c r="A131" s="19"/>
      <c r="B131" s="32"/>
      <c r="C131" s="32"/>
      <c r="D131" s="17"/>
      <c r="E131" s="17"/>
      <c r="F131" s="20"/>
    </row>
    <row r="132" spans="1:6" x14ac:dyDescent="0.25">
      <c r="A132" s="19"/>
      <c r="B132" s="32"/>
      <c r="C132" s="32"/>
      <c r="D132" s="17"/>
      <c r="E132" s="17"/>
      <c r="F132" s="20"/>
    </row>
    <row r="133" spans="1:6" x14ac:dyDescent="0.25">
      <c r="A133" s="19"/>
      <c r="B133" s="32"/>
      <c r="C133" s="32"/>
      <c r="D133" s="17"/>
      <c r="E133" s="17"/>
      <c r="F133" s="20"/>
    </row>
    <row r="134" spans="1:6" x14ac:dyDescent="0.25">
      <c r="A134" s="19"/>
      <c r="B134" s="32"/>
      <c r="C134" s="32"/>
      <c r="D134" s="17"/>
      <c r="E134" s="17"/>
      <c r="F134" s="20"/>
    </row>
    <row r="135" spans="1:6" x14ac:dyDescent="0.25">
      <c r="A135" s="19"/>
      <c r="B135" s="32"/>
      <c r="C135" s="32"/>
      <c r="D135" s="17"/>
      <c r="E135" s="17"/>
      <c r="F135" s="20"/>
    </row>
    <row r="136" spans="1:6" x14ac:dyDescent="0.25">
      <c r="A136" s="19"/>
      <c r="B136" s="32"/>
      <c r="C136" s="32"/>
      <c r="D136" s="17"/>
      <c r="E136" s="17"/>
      <c r="F136" s="20"/>
    </row>
    <row r="137" spans="1:6" x14ac:dyDescent="0.25">
      <c r="A137" s="19"/>
      <c r="B137" s="32"/>
      <c r="C137" s="32"/>
      <c r="D137" s="17"/>
      <c r="E137" s="17"/>
      <c r="F137" s="20"/>
    </row>
    <row r="138" spans="1:6" x14ac:dyDescent="0.25">
      <c r="A138" s="19"/>
      <c r="B138" s="32"/>
      <c r="C138" s="32"/>
      <c r="D138" s="17"/>
      <c r="E138" s="17"/>
      <c r="F138" s="20"/>
    </row>
    <row r="139" spans="1:6" x14ac:dyDescent="0.25">
      <c r="A139" s="19"/>
      <c r="B139" s="32"/>
      <c r="C139" s="32"/>
      <c r="D139" s="17"/>
      <c r="E139" s="17"/>
      <c r="F139" s="20"/>
    </row>
    <row r="140" spans="1:6" x14ac:dyDescent="0.25">
      <c r="A140" s="19"/>
      <c r="B140" s="32"/>
      <c r="C140" s="32"/>
      <c r="D140" s="17"/>
      <c r="E140" s="17"/>
      <c r="F140" s="20"/>
    </row>
    <row r="141" spans="1:6" x14ac:dyDescent="0.25">
      <c r="A141" s="19"/>
      <c r="B141" s="32"/>
      <c r="C141" s="32"/>
      <c r="D141" s="17"/>
      <c r="E141" s="17"/>
      <c r="F141" s="20"/>
    </row>
  </sheetData>
  <mergeCells count="112">
    <mergeCell ref="B129:C129"/>
    <mergeCell ref="B130:C130"/>
    <mergeCell ref="B131:C131"/>
    <mergeCell ref="B132:C132"/>
    <mergeCell ref="B133:C133"/>
    <mergeCell ref="B134:C134"/>
    <mergeCell ref="B140:C140"/>
    <mergeCell ref="B141:C141"/>
    <mergeCell ref="B135:C135"/>
    <mergeCell ref="B136:C136"/>
    <mergeCell ref="B137:C137"/>
    <mergeCell ref="B138:C138"/>
    <mergeCell ref="B139:C13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93:C93"/>
    <mergeCell ref="B94:C94"/>
    <mergeCell ref="B95:C95"/>
    <mergeCell ref="B96:C96"/>
    <mergeCell ref="B97:C97"/>
    <mergeCell ref="B98:C98"/>
    <mergeCell ref="B99:C99"/>
    <mergeCell ref="B100:C100"/>
    <mergeCell ref="B101:C101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34:C34"/>
    <mergeCell ref="B33:C33"/>
    <mergeCell ref="A11:B11"/>
    <mergeCell ref="B31:C31"/>
    <mergeCell ref="B32:C32"/>
    <mergeCell ref="B35:C35"/>
    <mergeCell ref="B36:C36"/>
    <mergeCell ref="B37:C37"/>
    <mergeCell ref="B38:C3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8"/>
  <sheetViews>
    <sheetView workbookViewId="0">
      <selection activeCell="C2" sqref="C2:C49"/>
    </sheetView>
  </sheetViews>
  <sheetFormatPr defaultRowHeight="15" x14ac:dyDescent="0.25"/>
  <cols>
    <col min="1" max="1" width="10.7109375" customWidth="1"/>
    <col min="2" max="2" width="12.140625" customWidth="1"/>
    <col min="3" max="3" width="14" customWidth="1"/>
    <col min="4" max="5" width="15.85546875" customWidth="1"/>
    <col min="6" max="6" width="10.42578125" customWidth="1"/>
  </cols>
  <sheetData>
    <row r="1" spans="1:4" x14ac:dyDescent="0.25">
      <c r="A1" s="25" t="s">
        <v>0</v>
      </c>
      <c r="B1" s="25" t="s">
        <v>1</v>
      </c>
      <c r="C1" s="26" t="s">
        <v>2</v>
      </c>
      <c r="D1" s="26" t="s">
        <v>3</v>
      </c>
    </row>
    <row r="2" spans="1:4" x14ac:dyDescent="0.25">
      <c r="A2" t="s">
        <v>5</v>
      </c>
      <c r="B2" s="2">
        <v>8.44</v>
      </c>
      <c r="C2" s="1">
        <v>-9.9793814432989691</v>
      </c>
      <c r="D2" s="5">
        <f>B2*C2/100</f>
        <v>-0.84225979381443294</v>
      </c>
    </row>
    <row r="3" spans="1:4" x14ac:dyDescent="0.25">
      <c r="A3" t="s">
        <v>4</v>
      </c>
      <c r="B3" s="2">
        <v>6.63</v>
      </c>
      <c r="C3" s="1">
        <v>5.8171745152354504</v>
      </c>
      <c r="D3" s="5">
        <f t="shared" ref="D3:D49" si="0">B3*C3/100</f>
        <v>0.38567867036011039</v>
      </c>
    </row>
    <row r="4" spans="1:4" x14ac:dyDescent="0.25">
      <c r="A4" t="s">
        <v>8</v>
      </c>
      <c r="B4" s="2">
        <v>5</v>
      </c>
      <c r="C4" s="1">
        <v>2.3796347537354698</v>
      </c>
      <c r="D4" s="5">
        <f t="shared" si="0"/>
        <v>0.11898173768677349</v>
      </c>
    </row>
    <row r="5" spans="1:4" x14ac:dyDescent="0.25">
      <c r="A5" t="s">
        <v>7</v>
      </c>
      <c r="B5" s="2">
        <v>5.44</v>
      </c>
      <c r="C5" s="1">
        <v>1.8518518518518501</v>
      </c>
      <c r="D5" s="5">
        <f t="shared" si="0"/>
        <v>0.10074074074074066</v>
      </c>
    </row>
    <row r="6" spans="1:4" x14ac:dyDescent="0.25">
      <c r="A6" t="s">
        <v>51</v>
      </c>
      <c r="B6" s="2">
        <v>5.09</v>
      </c>
      <c r="C6" s="1">
        <v>1.51843817787418</v>
      </c>
      <c r="D6" s="5">
        <f t="shared" si="0"/>
        <v>7.7288503253795757E-2</v>
      </c>
    </row>
    <row r="7" spans="1:4" x14ac:dyDescent="0.25">
      <c r="A7" t="s">
        <v>12</v>
      </c>
      <c r="B7" s="2">
        <v>7.44</v>
      </c>
      <c r="C7" s="1">
        <v>8</v>
      </c>
      <c r="D7" s="5">
        <f t="shared" si="0"/>
        <v>0.59520000000000006</v>
      </c>
    </row>
    <row r="8" spans="1:4" x14ac:dyDescent="0.25">
      <c r="A8" t="s">
        <v>17</v>
      </c>
      <c r="B8" s="22">
        <v>3.59</v>
      </c>
      <c r="C8" s="23">
        <v>3.6180904522613</v>
      </c>
      <c r="D8" s="5">
        <f t="shared" si="0"/>
        <v>0.12988944723618068</v>
      </c>
    </row>
    <row r="9" spans="1:4" x14ac:dyDescent="0.25">
      <c r="A9" t="s">
        <v>10</v>
      </c>
      <c r="B9" s="2">
        <v>6.51</v>
      </c>
      <c r="C9" s="1">
        <v>9.0909090909090899</v>
      </c>
      <c r="D9" s="5">
        <f t="shared" si="0"/>
        <v>0.59181818181818169</v>
      </c>
    </row>
    <row r="10" spans="1:4" x14ac:dyDescent="0.25">
      <c r="A10" t="s">
        <v>6</v>
      </c>
      <c r="B10" s="2">
        <v>2.2799999999999998</v>
      </c>
      <c r="C10" s="1">
        <v>-9.9893162393162296</v>
      </c>
      <c r="D10" s="5">
        <f t="shared" si="0"/>
        <v>-0.22775641025641</v>
      </c>
    </row>
    <row r="11" spans="1:4" x14ac:dyDescent="0.25">
      <c r="A11" t="s">
        <v>18</v>
      </c>
      <c r="B11" s="2">
        <v>3.33</v>
      </c>
      <c r="C11" s="1">
        <v>0</v>
      </c>
      <c r="D11" s="5">
        <f t="shared" si="0"/>
        <v>0</v>
      </c>
    </row>
    <row r="12" spans="1:4" x14ac:dyDescent="0.25">
      <c r="A12" t="s">
        <v>9</v>
      </c>
      <c r="B12" s="2">
        <v>7.9</v>
      </c>
      <c r="C12" s="30">
        <v>9.9442379182156095</v>
      </c>
      <c r="D12" s="5">
        <f t="shared" si="0"/>
        <v>0.78559479553903311</v>
      </c>
    </row>
    <row r="13" spans="1:4" x14ac:dyDescent="0.25">
      <c r="A13" t="s">
        <v>11</v>
      </c>
      <c r="B13" s="22">
        <v>1.88</v>
      </c>
      <c r="C13" s="1">
        <v>-0.47281323877068498</v>
      </c>
      <c r="D13" s="5">
        <f t="shared" si="0"/>
        <v>-8.8888888888888767E-3</v>
      </c>
    </row>
    <row r="14" spans="1:4" x14ac:dyDescent="0.25">
      <c r="A14" t="s">
        <v>52</v>
      </c>
      <c r="B14" s="22">
        <v>1.82</v>
      </c>
      <c r="C14" s="1">
        <v>2.4444444444444402</v>
      </c>
      <c r="D14" s="5">
        <f t="shared" si="0"/>
        <v>4.4488888888888807E-2</v>
      </c>
    </row>
    <row r="15" spans="1:4" x14ac:dyDescent="0.25">
      <c r="A15" t="s">
        <v>53</v>
      </c>
      <c r="B15" s="22">
        <v>1.77</v>
      </c>
      <c r="C15" s="23">
        <v>-0.67632850241545805</v>
      </c>
      <c r="D15" s="5">
        <f t="shared" si="0"/>
        <v>-1.1971014492753607E-2</v>
      </c>
    </row>
    <row r="16" spans="1:4" x14ac:dyDescent="0.25">
      <c r="A16" t="s">
        <v>54</v>
      </c>
      <c r="B16" s="2">
        <v>1.21</v>
      </c>
      <c r="C16" s="1">
        <v>-0.59880239520958001</v>
      </c>
      <c r="D16" s="5">
        <f t="shared" si="0"/>
        <v>-7.2455089820359173E-3</v>
      </c>
    </row>
    <row r="17" spans="1:4" x14ac:dyDescent="0.25">
      <c r="A17" t="s">
        <v>55</v>
      </c>
      <c r="B17" s="2">
        <v>1.61</v>
      </c>
      <c r="C17" s="1">
        <v>-0.258397932816537</v>
      </c>
      <c r="D17" s="5">
        <f t="shared" si="0"/>
        <v>-4.1602067183462458E-3</v>
      </c>
    </row>
    <row r="18" spans="1:4" x14ac:dyDescent="0.25">
      <c r="A18" t="s">
        <v>56</v>
      </c>
      <c r="B18" s="2">
        <v>1.58</v>
      </c>
      <c r="C18" s="1">
        <v>-0.40518638573743898</v>
      </c>
      <c r="D18" s="5">
        <f t="shared" si="0"/>
        <v>-6.4019448946515366E-3</v>
      </c>
    </row>
    <row r="19" spans="1:4" x14ac:dyDescent="0.25">
      <c r="A19" t="s">
        <v>57</v>
      </c>
      <c r="B19" s="2">
        <v>1.54</v>
      </c>
      <c r="C19" s="1">
        <v>-1.17416829745596</v>
      </c>
      <c r="D19" s="5">
        <f t="shared" si="0"/>
        <v>-1.8082191780821783E-2</v>
      </c>
    </row>
    <row r="20" spans="1:4" x14ac:dyDescent="0.25">
      <c r="A20" t="s">
        <v>58</v>
      </c>
      <c r="B20" s="2">
        <v>1.1000000000000001</v>
      </c>
      <c r="C20" s="1">
        <v>-1.9576719576719499</v>
      </c>
      <c r="D20" s="5">
        <f t="shared" si="0"/>
        <v>-2.1534391534391451E-2</v>
      </c>
    </row>
    <row r="21" spans="1:4" x14ac:dyDescent="0.25">
      <c r="A21" t="s">
        <v>59</v>
      </c>
      <c r="B21" s="2">
        <v>1.06</v>
      </c>
      <c r="C21" s="1">
        <v>-0.21287919105907399</v>
      </c>
      <c r="D21" s="5">
        <f t="shared" si="0"/>
        <v>-2.2565194252261844E-3</v>
      </c>
    </row>
    <row r="22" spans="1:4" x14ac:dyDescent="0.25">
      <c r="A22" t="s">
        <v>60</v>
      </c>
      <c r="B22" s="2">
        <v>0.77</v>
      </c>
      <c r="C22" s="1">
        <v>0</v>
      </c>
      <c r="D22" s="5">
        <f t="shared" si="0"/>
        <v>0</v>
      </c>
    </row>
    <row r="23" spans="1:4" x14ac:dyDescent="0.25">
      <c r="A23" t="s">
        <v>61</v>
      </c>
      <c r="B23" s="22">
        <v>0.98</v>
      </c>
      <c r="C23" s="23">
        <v>0.64274236743438595</v>
      </c>
      <c r="D23" s="5">
        <f t="shared" si="0"/>
        <v>6.2988752008569827E-3</v>
      </c>
    </row>
    <row r="24" spans="1:4" x14ac:dyDescent="0.25">
      <c r="A24" t="s">
        <v>62</v>
      </c>
      <c r="B24" s="22">
        <v>0.82</v>
      </c>
      <c r="C24" s="23">
        <v>-1.07591153616258</v>
      </c>
      <c r="D24" s="5">
        <f t="shared" si="0"/>
        <v>-8.8224745965331548E-3</v>
      </c>
    </row>
    <row r="25" spans="1:4" x14ac:dyDescent="0.25">
      <c r="A25" t="s">
        <v>63</v>
      </c>
      <c r="B25" s="22">
        <v>0.88</v>
      </c>
      <c r="C25" s="23">
        <v>-1.23934934159566</v>
      </c>
      <c r="D25" s="5">
        <f t="shared" si="0"/>
        <v>-1.0906274206041809E-2</v>
      </c>
    </row>
    <row r="26" spans="1:4" x14ac:dyDescent="0.25">
      <c r="A26" t="s">
        <v>64</v>
      </c>
      <c r="B26" s="22">
        <v>0.72</v>
      </c>
      <c r="C26" s="23">
        <v>0.48806941431670198</v>
      </c>
      <c r="D26" s="5">
        <f t="shared" si="0"/>
        <v>3.514099783080254E-3</v>
      </c>
    </row>
    <row r="27" spans="1:4" x14ac:dyDescent="0.25">
      <c r="A27" t="s">
        <v>65</v>
      </c>
      <c r="B27" s="22">
        <v>0.8</v>
      </c>
      <c r="C27" s="23">
        <v>-0.41011619958988299</v>
      </c>
      <c r="D27" s="5">
        <f t="shared" si="0"/>
        <v>-3.2809295967190645E-3</v>
      </c>
    </row>
    <row r="28" spans="1:4" x14ac:dyDescent="0.25">
      <c r="A28" t="s">
        <v>66</v>
      </c>
      <c r="B28" s="22">
        <v>0.75</v>
      </c>
      <c r="C28" s="23">
        <v>9.9685204616998906</v>
      </c>
      <c r="D28" s="5">
        <f t="shared" si="0"/>
        <v>7.4763903462749179E-2</v>
      </c>
    </row>
    <row r="29" spans="1:4" x14ac:dyDescent="0.25">
      <c r="A29" t="s">
        <v>67</v>
      </c>
      <c r="B29" s="22">
        <v>0.56000000000000005</v>
      </c>
      <c r="C29" s="23">
        <v>-0.89988751406074197</v>
      </c>
      <c r="D29" s="5">
        <f t="shared" si="0"/>
        <v>-5.0393700787401555E-3</v>
      </c>
    </row>
    <row r="30" spans="1:4" x14ac:dyDescent="0.25">
      <c r="A30" t="s">
        <v>68</v>
      </c>
      <c r="B30" s="22">
        <v>0.55000000000000004</v>
      </c>
      <c r="C30" s="23">
        <v>-0.43975373790677202</v>
      </c>
      <c r="D30" s="5">
        <f t="shared" si="0"/>
        <v>-2.4186455584872461E-3</v>
      </c>
    </row>
    <row r="31" spans="1:4" x14ac:dyDescent="0.25">
      <c r="A31" t="s">
        <v>69</v>
      </c>
      <c r="B31" s="22">
        <v>0.52</v>
      </c>
      <c r="C31" s="23">
        <v>-1.43798681845416</v>
      </c>
      <c r="D31" s="5">
        <f t="shared" si="0"/>
        <v>-7.4775314559616321E-3</v>
      </c>
    </row>
    <row r="32" spans="1:4" x14ac:dyDescent="0.25">
      <c r="A32" t="s">
        <v>70</v>
      </c>
      <c r="B32" s="22">
        <v>0.5</v>
      </c>
      <c r="C32" s="23">
        <v>-0.225056264066016</v>
      </c>
      <c r="D32" s="5">
        <f t="shared" si="0"/>
        <v>-1.1252813203300801E-3</v>
      </c>
    </row>
    <row r="33" spans="1:4" x14ac:dyDescent="0.25">
      <c r="A33" t="s">
        <v>71</v>
      </c>
      <c r="B33" s="22">
        <v>0.36</v>
      </c>
      <c r="C33" s="23">
        <v>-1.68150346191889</v>
      </c>
      <c r="D33" s="5">
        <f t="shared" si="0"/>
        <v>-6.0534124629080029E-3</v>
      </c>
    </row>
    <row r="34" spans="1:4" x14ac:dyDescent="0.25">
      <c r="A34" t="s">
        <v>72</v>
      </c>
      <c r="B34" s="22">
        <v>0.47</v>
      </c>
      <c r="C34" s="23">
        <v>0.80572963294538902</v>
      </c>
      <c r="D34" s="5">
        <f t="shared" si="0"/>
        <v>3.7869292748433283E-3</v>
      </c>
    </row>
    <row r="35" spans="1:4" x14ac:dyDescent="0.25">
      <c r="A35" t="s">
        <v>73</v>
      </c>
      <c r="B35" s="22">
        <v>0.46</v>
      </c>
      <c r="C35" s="23">
        <v>-1.83660544648511</v>
      </c>
      <c r="D35" s="5">
        <f t="shared" si="0"/>
        <v>-8.4483850538315062E-3</v>
      </c>
    </row>
    <row r="36" spans="1:4" x14ac:dyDescent="0.25">
      <c r="A36" t="s">
        <v>74</v>
      </c>
      <c r="B36" s="22">
        <v>0.37</v>
      </c>
      <c r="C36" s="23">
        <v>1.0138248847926199</v>
      </c>
      <c r="D36" s="5">
        <f t="shared" si="0"/>
        <v>3.7511520737326938E-3</v>
      </c>
    </row>
    <row r="37" spans="1:4" x14ac:dyDescent="0.25">
      <c r="A37" t="s">
        <v>75</v>
      </c>
      <c r="B37" s="22">
        <v>0.45</v>
      </c>
      <c r="C37" s="23">
        <v>-2.13454075032341</v>
      </c>
      <c r="D37" s="5">
        <f t="shared" si="0"/>
        <v>-9.6054333764553444E-3</v>
      </c>
    </row>
    <row r="38" spans="1:4" x14ac:dyDescent="0.25">
      <c r="A38" t="s">
        <v>76</v>
      </c>
      <c r="B38" s="22">
        <v>0.4</v>
      </c>
      <c r="C38" s="23">
        <v>-1.3827781269641699</v>
      </c>
      <c r="D38" s="5">
        <f t="shared" si="0"/>
        <v>-5.5311125078566807E-3</v>
      </c>
    </row>
    <row r="39" spans="1:4" x14ac:dyDescent="0.25">
      <c r="A39" t="s">
        <v>15</v>
      </c>
      <c r="B39" s="22">
        <v>0.37</v>
      </c>
      <c r="C39" s="23">
        <v>9.9748533109807198</v>
      </c>
      <c r="D39" s="5">
        <f t="shared" si="0"/>
        <v>3.6906957250628668E-2</v>
      </c>
    </row>
    <row r="40" spans="1:4" x14ac:dyDescent="0.25">
      <c r="A40" t="s">
        <v>77</v>
      </c>
      <c r="B40" s="22">
        <v>0.39</v>
      </c>
      <c r="C40" s="23">
        <v>-1.0931806350858899</v>
      </c>
      <c r="D40" s="5">
        <f t="shared" si="0"/>
        <v>-4.263404476834971E-3</v>
      </c>
    </row>
    <row r="41" spans="1:4" x14ac:dyDescent="0.25">
      <c r="A41" t="s">
        <v>78</v>
      </c>
      <c r="B41" s="22">
        <v>0.34</v>
      </c>
      <c r="C41" s="23">
        <v>1.38104205900816</v>
      </c>
      <c r="D41" s="5">
        <f t="shared" si="0"/>
        <v>4.6955430006277443E-3</v>
      </c>
    </row>
    <row r="42" spans="1:4" x14ac:dyDescent="0.25">
      <c r="A42" t="s">
        <v>79</v>
      </c>
      <c r="B42" s="22">
        <v>0.3</v>
      </c>
      <c r="C42" s="23">
        <v>2.4390243902439002</v>
      </c>
      <c r="D42" s="5">
        <f t="shared" si="0"/>
        <v>7.3170731707317008E-3</v>
      </c>
    </row>
    <row r="43" spans="1:4" x14ac:dyDescent="0.25">
      <c r="A43" t="s">
        <v>80</v>
      </c>
      <c r="B43" s="22">
        <v>0.25</v>
      </c>
      <c r="C43" s="23">
        <v>-4.6456692913385798</v>
      </c>
      <c r="D43" s="5">
        <f t="shared" si="0"/>
        <v>-1.161417322834645E-2</v>
      </c>
    </row>
    <row r="44" spans="1:4" x14ac:dyDescent="0.25">
      <c r="A44" t="s">
        <v>14</v>
      </c>
      <c r="B44" s="22">
        <v>0.1</v>
      </c>
      <c r="C44" s="23">
        <v>0.48309178743961301</v>
      </c>
      <c r="D44" s="5">
        <f t="shared" si="0"/>
        <v>4.8309178743961303E-4</v>
      </c>
    </row>
    <row r="45" spans="1:4" x14ac:dyDescent="0.25">
      <c r="A45" t="s">
        <v>81</v>
      </c>
      <c r="B45" s="22">
        <v>0.22</v>
      </c>
      <c r="C45" s="23">
        <v>-0.35587188612099602</v>
      </c>
      <c r="D45" s="5">
        <f t="shared" si="0"/>
        <v>-7.8291814946619123E-4</v>
      </c>
    </row>
    <row r="46" spans="1:4" x14ac:dyDescent="0.25">
      <c r="A46" t="s">
        <v>82</v>
      </c>
      <c r="B46" s="22">
        <v>0.08</v>
      </c>
      <c r="C46" s="23">
        <v>-1.0441767068273</v>
      </c>
      <c r="D46" s="5">
        <f t="shared" si="0"/>
        <v>-8.3534136546184012E-4</v>
      </c>
    </row>
    <row r="47" spans="1:4" x14ac:dyDescent="0.25">
      <c r="A47" t="s">
        <v>83</v>
      </c>
      <c r="B47" s="22">
        <v>0.01</v>
      </c>
      <c r="C47" s="23">
        <v>-0.63578564940962701</v>
      </c>
      <c r="D47" s="5">
        <f t="shared" si="0"/>
        <v>-6.3578564940962697E-5</v>
      </c>
    </row>
    <row r="48" spans="1:4" x14ac:dyDescent="0.25">
      <c r="A48" t="s">
        <v>84</v>
      </c>
      <c r="B48" s="22">
        <v>3.34</v>
      </c>
      <c r="C48" s="23">
        <v>0.11</v>
      </c>
      <c r="D48" s="5">
        <f t="shared" si="0"/>
        <v>3.6740000000000002E-3</v>
      </c>
    </row>
    <row r="49" spans="1:6" x14ac:dyDescent="0.25">
      <c r="A49" t="s">
        <v>85</v>
      </c>
      <c r="B49" s="22">
        <v>2.5499999999999998</v>
      </c>
      <c r="C49" s="23">
        <v>0.12</v>
      </c>
      <c r="D49" s="5">
        <f t="shared" si="0"/>
        <v>3.0599999999999998E-3</v>
      </c>
    </row>
    <row r="50" spans="1:6" x14ac:dyDescent="0.25">
      <c r="A50" s="31" t="s">
        <v>24</v>
      </c>
      <c r="B50" s="27">
        <f>SUM(B2:B49)</f>
        <v>93.529999999999973</v>
      </c>
      <c r="C50" s="27"/>
      <c r="D50" s="28">
        <f>SUM(D2:D49)</f>
        <v>1.7411074537415214</v>
      </c>
    </row>
    <row r="60" spans="1:6" x14ac:dyDescent="0.25">
      <c r="A60" s="3"/>
      <c r="B60" s="33"/>
      <c r="C60" s="33"/>
      <c r="D60" s="16"/>
      <c r="E60" s="3"/>
      <c r="F60" s="3"/>
    </row>
    <row r="61" spans="1:6" x14ac:dyDescent="0.25">
      <c r="A61" s="19"/>
      <c r="B61" s="32"/>
      <c r="C61" s="32"/>
      <c r="D61" s="17"/>
      <c r="E61" s="17"/>
      <c r="F61" s="20"/>
    </row>
    <row r="62" spans="1:6" x14ac:dyDescent="0.25">
      <c r="A62" s="19"/>
      <c r="B62" s="32"/>
      <c r="C62" s="32"/>
      <c r="D62" s="17"/>
      <c r="E62" s="17"/>
      <c r="F62" s="20"/>
    </row>
    <row r="63" spans="1:6" x14ac:dyDescent="0.25">
      <c r="A63" s="19"/>
      <c r="B63" s="32"/>
      <c r="C63" s="32"/>
      <c r="D63" s="17"/>
      <c r="E63" s="17"/>
      <c r="F63" s="20"/>
    </row>
    <row r="64" spans="1:6" x14ac:dyDescent="0.25">
      <c r="A64" s="19"/>
      <c r="B64" s="32"/>
      <c r="C64" s="32"/>
      <c r="D64" s="17"/>
      <c r="E64" s="17"/>
      <c r="F64" s="20"/>
    </row>
    <row r="65" spans="1:6" x14ac:dyDescent="0.25">
      <c r="A65" s="19"/>
      <c r="B65" s="32"/>
      <c r="C65" s="32"/>
      <c r="D65" s="17"/>
      <c r="E65" s="17"/>
      <c r="F65" s="20"/>
    </row>
    <row r="66" spans="1:6" x14ac:dyDescent="0.25">
      <c r="A66" s="19"/>
      <c r="B66" s="32"/>
      <c r="C66" s="32"/>
      <c r="D66" s="17"/>
      <c r="E66" s="17"/>
      <c r="F66" s="20"/>
    </row>
    <row r="67" spans="1:6" x14ac:dyDescent="0.25">
      <c r="A67" s="19"/>
      <c r="B67" s="32"/>
      <c r="C67" s="32"/>
      <c r="D67" s="17"/>
      <c r="E67" s="17"/>
      <c r="F67" s="20"/>
    </row>
    <row r="68" spans="1:6" x14ac:dyDescent="0.25">
      <c r="A68" s="19"/>
      <c r="B68" s="32"/>
      <c r="C68" s="32"/>
      <c r="D68" s="17"/>
      <c r="E68" s="17"/>
      <c r="F68" s="20"/>
    </row>
    <row r="69" spans="1:6" x14ac:dyDescent="0.25">
      <c r="A69" s="19"/>
      <c r="B69" s="32"/>
      <c r="C69" s="32"/>
      <c r="D69" s="17"/>
      <c r="E69" s="17"/>
      <c r="F69" s="20"/>
    </row>
    <row r="70" spans="1:6" x14ac:dyDescent="0.25">
      <c r="A70" s="19"/>
      <c r="B70" s="32"/>
      <c r="C70" s="32"/>
      <c r="D70" s="17"/>
      <c r="E70" s="17"/>
      <c r="F70" s="20"/>
    </row>
    <row r="71" spans="1:6" x14ac:dyDescent="0.25">
      <c r="A71" s="19"/>
      <c r="B71" s="32"/>
      <c r="C71" s="32"/>
      <c r="D71" s="17"/>
      <c r="E71" s="17"/>
      <c r="F71" s="20"/>
    </row>
    <row r="72" spans="1:6" x14ac:dyDescent="0.25">
      <c r="A72" s="19"/>
      <c r="B72" s="32"/>
      <c r="C72" s="32"/>
      <c r="D72" s="17"/>
      <c r="E72" s="17"/>
      <c r="F72" s="20"/>
    </row>
    <row r="73" spans="1:6" x14ac:dyDescent="0.25">
      <c r="A73" s="19"/>
      <c r="B73" s="32"/>
      <c r="C73" s="32"/>
      <c r="D73" s="17"/>
      <c r="E73" s="17"/>
      <c r="F73" s="20"/>
    </row>
    <row r="74" spans="1:6" x14ac:dyDescent="0.25">
      <c r="F74" s="20"/>
    </row>
    <row r="75" spans="1:6" x14ac:dyDescent="0.25">
      <c r="F75" s="20"/>
    </row>
    <row r="76" spans="1:6" x14ac:dyDescent="0.25">
      <c r="F76" s="20"/>
    </row>
    <row r="77" spans="1:6" x14ac:dyDescent="0.25">
      <c r="F77" s="20"/>
    </row>
    <row r="78" spans="1:6" x14ac:dyDescent="0.25">
      <c r="F78" s="20"/>
    </row>
  </sheetData>
  <mergeCells count="14">
    <mergeCell ref="B73:C73"/>
    <mergeCell ref="B72:C72"/>
    <mergeCell ref="B65:C65"/>
    <mergeCell ref="B71:C71"/>
    <mergeCell ref="B60:C60"/>
    <mergeCell ref="B61:C61"/>
    <mergeCell ref="B62:C62"/>
    <mergeCell ref="B63:C63"/>
    <mergeCell ref="B64:C64"/>
    <mergeCell ref="B70:C70"/>
    <mergeCell ref="B69:C69"/>
    <mergeCell ref="B68:C68"/>
    <mergeCell ref="B66:C66"/>
    <mergeCell ref="B67:C6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6"/>
  <sheetViews>
    <sheetView workbookViewId="0">
      <selection activeCell="C2" sqref="C2:C34"/>
    </sheetView>
  </sheetViews>
  <sheetFormatPr defaultRowHeight="15" x14ac:dyDescent="0.25"/>
  <cols>
    <col min="1" max="1" width="12" customWidth="1"/>
    <col min="3" max="3" width="10.42578125" customWidth="1"/>
    <col min="4" max="4" width="18" customWidth="1"/>
    <col min="5" max="5" width="27" customWidth="1"/>
  </cols>
  <sheetData>
    <row r="1" spans="1:4" x14ac:dyDescent="0.25">
      <c r="A1" s="25" t="s">
        <v>0</v>
      </c>
      <c r="B1" s="25" t="s">
        <v>1</v>
      </c>
      <c r="C1" s="26" t="s">
        <v>2</v>
      </c>
      <c r="D1" s="26" t="s">
        <v>3</v>
      </c>
    </row>
    <row r="2" spans="1:4" x14ac:dyDescent="0.25">
      <c r="A2" s="2" t="s">
        <v>78</v>
      </c>
      <c r="B2" s="2">
        <v>5.2</v>
      </c>
      <c r="C2" s="1">
        <v>1.38104205900816</v>
      </c>
      <c r="D2" s="5">
        <f>B2*C2/100</f>
        <v>7.1814187068424323E-2</v>
      </c>
    </row>
    <row r="3" spans="1:4" x14ac:dyDescent="0.25">
      <c r="A3" s="2" t="s">
        <v>4</v>
      </c>
      <c r="B3" s="2">
        <v>5.66</v>
      </c>
      <c r="C3" s="1">
        <v>5.8171745152354504</v>
      </c>
      <c r="D3" s="5">
        <f>B3*C3/100</f>
        <v>0.3292520775623265</v>
      </c>
    </row>
    <row r="4" spans="1:4" x14ac:dyDescent="0.25">
      <c r="A4" s="2" t="s">
        <v>8</v>
      </c>
      <c r="B4" s="2">
        <v>6.71</v>
      </c>
      <c r="C4" s="1">
        <v>2.3796347537354698</v>
      </c>
      <c r="D4" s="5">
        <f t="shared" ref="D4:D34" si="0">B4*C4/100</f>
        <v>0.15967349197565003</v>
      </c>
    </row>
    <row r="5" spans="1:4" x14ac:dyDescent="0.25">
      <c r="A5" s="2" t="s">
        <v>6</v>
      </c>
      <c r="B5" s="2">
        <v>2.71</v>
      </c>
      <c r="C5" s="1">
        <v>-9.9893162393162296</v>
      </c>
      <c r="D5" s="5">
        <f t="shared" si="0"/>
        <v>-0.27071047008546978</v>
      </c>
    </row>
    <row r="6" spans="1:4" x14ac:dyDescent="0.25">
      <c r="A6" s="2" t="s">
        <v>15</v>
      </c>
      <c r="B6" s="2">
        <v>6.91</v>
      </c>
      <c r="C6" s="1">
        <v>9.9748533109807198</v>
      </c>
      <c r="D6" s="5">
        <f t="shared" si="0"/>
        <v>0.68926236378876782</v>
      </c>
    </row>
    <row r="7" spans="1:4" x14ac:dyDescent="0.25">
      <c r="A7" s="2" t="s">
        <v>18</v>
      </c>
      <c r="B7" s="2">
        <v>6.79</v>
      </c>
      <c r="C7" s="1">
        <v>0</v>
      </c>
      <c r="D7" s="5">
        <f t="shared" si="0"/>
        <v>0</v>
      </c>
    </row>
    <row r="8" spans="1:4" x14ac:dyDescent="0.25">
      <c r="A8" s="2" t="s">
        <v>21</v>
      </c>
      <c r="B8" s="2">
        <v>2.17</v>
      </c>
      <c r="C8" s="1">
        <v>-1.12842557764642</v>
      </c>
      <c r="D8" s="5">
        <f t="shared" si="0"/>
        <v>-2.4486835034927313E-2</v>
      </c>
    </row>
    <row r="9" spans="1:4" x14ac:dyDescent="0.25">
      <c r="A9" s="2" t="s">
        <v>9</v>
      </c>
      <c r="B9" s="2">
        <v>4.28</v>
      </c>
      <c r="C9" s="1">
        <v>9.9442379182156095</v>
      </c>
      <c r="D9" s="5">
        <f t="shared" si="0"/>
        <v>0.42561338289962813</v>
      </c>
    </row>
    <row r="10" spans="1:4" x14ac:dyDescent="0.25">
      <c r="A10" s="2" t="s">
        <v>86</v>
      </c>
      <c r="B10" s="2">
        <v>3.58</v>
      </c>
      <c r="C10" s="1">
        <v>-6.6271018793273901</v>
      </c>
      <c r="D10" s="5">
        <f t="shared" si="0"/>
        <v>-0.23725024727992058</v>
      </c>
    </row>
    <row r="11" spans="1:4" x14ac:dyDescent="0.25">
      <c r="A11" s="2" t="s">
        <v>32</v>
      </c>
      <c r="B11" s="2">
        <v>1.84</v>
      </c>
      <c r="C11" s="1">
        <v>-0.78475336322869904</v>
      </c>
      <c r="D11" s="5">
        <f t="shared" si="0"/>
        <v>-1.4439461883408063E-2</v>
      </c>
    </row>
    <row r="12" spans="1:4" x14ac:dyDescent="0.25">
      <c r="A12" s="2" t="s">
        <v>87</v>
      </c>
      <c r="B12" s="2">
        <v>2.79</v>
      </c>
      <c r="C12" s="1">
        <v>-0.59331175836030203</v>
      </c>
      <c r="D12" s="5">
        <f t="shared" si="0"/>
        <v>-1.6553398058252428E-2</v>
      </c>
    </row>
    <row r="13" spans="1:4" x14ac:dyDescent="0.25">
      <c r="A13" s="2" t="s">
        <v>56</v>
      </c>
      <c r="B13" s="2">
        <v>2.25</v>
      </c>
      <c r="C13" s="1">
        <v>-0.40518638573743898</v>
      </c>
      <c r="D13" s="5">
        <f t="shared" si="0"/>
        <v>-9.1166936790923764E-3</v>
      </c>
    </row>
    <row r="14" spans="1:4" x14ac:dyDescent="0.25">
      <c r="A14" s="2" t="s">
        <v>88</v>
      </c>
      <c r="B14" s="2">
        <v>3.07</v>
      </c>
      <c r="C14" s="1">
        <v>3.6827195467422098</v>
      </c>
      <c r="D14" s="5">
        <f t="shared" si="0"/>
        <v>0.11305949008498584</v>
      </c>
    </row>
    <row r="15" spans="1:4" x14ac:dyDescent="0.25">
      <c r="A15" s="2" t="s">
        <v>89</v>
      </c>
      <c r="B15" s="2">
        <v>2.16</v>
      </c>
      <c r="C15" s="1">
        <v>-3.06532663316582</v>
      </c>
      <c r="D15" s="5">
        <f t="shared" si="0"/>
        <v>-6.6211055276381714E-2</v>
      </c>
    </row>
    <row r="16" spans="1:4" x14ac:dyDescent="0.25">
      <c r="A16" s="2" t="s">
        <v>90</v>
      </c>
      <c r="B16" s="2">
        <v>2.4300000000000002</v>
      </c>
      <c r="C16" s="1">
        <v>7.7399380804953496E-2</v>
      </c>
      <c r="D16" s="5">
        <f t="shared" si="0"/>
        <v>1.8808049535603702E-3</v>
      </c>
    </row>
    <row r="17" spans="1:5" x14ac:dyDescent="0.25">
      <c r="A17" s="2" t="s">
        <v>91</v>
      </c>
      <c r="B17" s="2">
        <v>3.26</v>
      </c>
      <c r="C17" s="1">
        <v>4.3035993740219096</v>
      </c>
      <c r="D17" s="5">
        <f t="shared" si="0"/>
        <v>0.14029733959311425</v>
      </c>
    </row>
    <row r="18" spans="1:5" x14ac:dyDescent="0.25">
      <c r="A18" s="2" t="s">
        <v>92</v>
      </c>
      <c r="B18" s="2">
        <v>0.83</v>
      </c>
      <c r="C18" s="1">
        <v>1.5350877192982399</v>
      </c>
      <c r="D18" s="5">
        <f t="shared" si="0"/>
        <v>1.274122807017539E-2</v>
      </c>
    </row>
    <row r="19" spans="1:5" x14ac:dyDescent="0.25">
      <c r="A19" s="2" t="s">
        <v>93</v>
      </c>
      <c r="B19" s="2">
        <v>2.4700000000000002</v>
      </c>
      <c r="C19" s="1">
        <v>9.9426386233269604</v>
      </c>
      <c r="D19" s="5">
        <f t="shared" si="0"/>
        <v>0.24558317399617594</v>
      </c>
    </row>
    <row r="20" spans="1:5" x14ac:dyDescent="0.25">
      <c r="A20" s="2" t="s">
        <v>10</v>
      </c>
      <c r="B20" s="2">
        <v>9.65</v>
      </c>
      <c r="C20" s="1">
        <v>9.0909090909090899</v>
      </c>
      <c r="D20" s="5">
        <f t="shared" si="0"/>
        <v>0.8772727272727272</v>
      </c>
    </row>
    <row r="21" spans="1:5" x14ac:dyDescent="0.25">
      <c r="A21" s="2" t="s">
        <v>66</v>
      </c>
      <c r="B21" s="2">
        <v>1.66</v>
      </c>
      <c r="C21" s="1">
        <v>9.9685204616998906</v>
      </c>
      <c r="D21" s="5">
        <f t="shared" si="0"/>
        <v>0.16547743966421816</v>
      </c>
    </row>
    <row r="22" spans="1:5" x14ac:dyDescent="0.25">
      <c r="A22" s="2" t="s">
        <v>13</v>
      </c>
      <c r="B22" s="2">
        <v>2.59</v>
      </c>
      <c r="C22" s="1">
        <v>6.0606060606060597</v>
      </c>
      <c r="D22" s="5">
        <f t="shared" si="0"/>
        <v>0.15696969696969693</v>
      </c>
    </row>
    <row r="23" spans="1:5" x14ac:dyDescent="0.25">
      <c r="A23" s="2" t="s">
        <v>94</v>
      </c>
      <c r="B23" s="2">
        <v>1.56</v>
      </c>
      <c r="C23" s="1">
        <v>-0.16638935108153</v>
      </c>
      <c r="D23" s="5">
        <f t="shared" si="0"/>
        <v>-2.5956738768718678E-3</v>
      </c>
    </row>
    <row r="24" spans="1:5" x14ac:dyDescent="0.25">
      <c r="A24" s="2" t="s">
        <v>7</v>
      </c>
      <c r="B24" s="2">
        <v>2.4</v>
      </c>
      <c r="C24" s="1">
        <v>1.8518518518518501</v>
      </c>
      <c r="D24" s="5">
        <f t="shared" si="0"/>
        <v>4.4444444444444405E-2</v>
      </c>
    </row>
    <row r="25" spans="1:5" x14ac:dyDescent="0.25">
      <c r="A25" s="2" t="s">
        <v>95</v>
      </c>
      <c r="B25" s="2">
        <v>1.6</v>
      </c>
      <c r="C25" s="1">
        <v>0.934579439252336</v>
      </c>
      <c r="D25" s="5">
        <f t="shared" si="0"/>
        <v>1.4953271028037375E-2</v>
      </c>
    </row>
    <row r="26" spans="1:5" x14ac:dyDescent="0.25">
      <c r="A26" s="2" t="s">
        <v>16</v>
      </c>
      <c r="B26" s="2">
        <v>6.67</v>
      </c>
      <c r="C26" s="1">
        <v>2.8901734104046199</v>
      </c>
      <c r="D26" s="5">
        <f t="shared" si="0"/>
        <v>0.19277456647398813</v>
      </c>
    </row>
    <row r="27" spans="1:5" x14ac:dyDescent="0.25">
      <c r="A27" s="2" t="s">
        <v>96</v>
      </c>
      <c r="B27" s="2">
        <v>1.76</v>
      </c>
      <c r="C27" s="1">
        <v>0.197368421052631</v>
      </c>
      <c r="D27" s="5">
        <f t="shared" si="0"/>
        <v>3.4736842105263055E-3</v>
      </c>
    </row>
    <row r="28" spans="1:5" x14ac:dyDescent="0.25">
      <c r="A28" s="2" t="s">
        <v>97</v>
      </c>
      <c r="B28" s="2">
        <v>0.99</v>
      </c>
      <c r="C28" s="1">
        <v>-0.72874493927125505</v>
      </c>
      <c r="D28" s="5">
        <f t="shared" si="0"/>
        <v>-7.2145748987854251E-3</v>
      </c>
    </row>
    <row r="29" spans="1:5" x14ac:dyDescent="0.25">
      <c r="A29" s="2" t="s">
        <v>98</v>
      </c>
      <c r="B29" s="2">
        <v>1.59</v>
      </c>
      <c r="C29" s="1">
        <v>2.2871664548919899</v>
      </c>
      <c r="D29" s="5">
        <f t="shared" si="0"/>
        <v>3.6365946632782642E-2</v>
      </c>
      <c r="E29" s="2"/>
    </row>
    <row r="30" spans="1:5" x14ac:dyDescent="0.25">
      <c r="A30" s="2" t="s">
        <v>99</v>
      </c>
      <c r="B30" s="2">
        <v>0.61</v>
      </c>
      <c r="C30" s="23">
        <v>4.3921568627450904</v>
      </c>
      <c r="D30" s="5">
        <f t="shared" si="0"/>
        <v>2.679215686274505E-2</v>
      </c>
      <c r="E30" s="13"/>
    </row>
    <row r="31" spans="1:5" x14ac:dyDescent="0.25">
      <c r="A31" s="2" t="s">
        <v>17</v>
      </c>
      <c r="B31" s="2">
        <v>0.6</v>
      </c>
      <c r="C31" s="1">
        <v>3.6180904522613</v>
      </c>
      <c r="D31" s="5">
        <f t="shared" si="0"/>
        <v>2.1708542713567799E-2</v>
      </c>
    </row>
    <row r="32" spans="1:5" x14ac:dyDescent="0.25">
      <c r="A32" s="2" t="s">
        <v>100</v>
      </c>
      <c r="B32" s="2">
        <v>0.49</v>
      </c>
      <c r="C32" s="1">
        <v>-1.3548387096774099</v>
      </c>
      <c r="D32" s="5">
        <f t="shared" si="0"/>
        <v>-6.6387096774193086E-3</v>
      </c>
      <c r="E32" s="3"/>
    </row>
    <row r="33" spans="1:5" x14ac:dyDescent="0.25">
      <c r="A33" s="2" t="s">
        <v>101</v>
      </c>
      <c r="B33" s="2">
        <v>0.91</v>
      </c>
      <c r="C33" s="23">
        <v>-1.5069967707212</v>
      </c>
      <c r="D33" s="5">
        <f t="shared" si="0"/>
        <v>-1.371367061356292E-2</v>
      </c>
      <c r="E33" s="17"/>
    </row>
    <row r="34" spans="1:5" x14ac:dyDescent="0.25">
      <c r="A34" s="2" t="s">
        <v>102</v>
      </c>
      <c r="B34" s="2">
        <v>0.05</v>
      </c>
      <c r="C34" s="1">
        <v>0</v>
      </c>
      <c r="D34" s="5">
        <f t="shared" si="0"/>
        <v>0</v>
      </c>
      <c r="E34" s="18"/>
    </row>
    <row r="35" spans="1:5" x14ac:dyDescent="0.25">
      <c r="A35" s="31" t="s">
        <v>24</v>
      </c>
      <c r="B35" s="28">
        <f>SUM(B2:B34)</f>
        <v>98.24</v>
      </c>
      <c r="C35" s="27"/>
      <c r="D35" s="28">
        <f>SUM(D2:D34)</f>
        <v>3.0604792259014513</v>
      </c>
      <c r="E35" s="18"/>
    </row>
    <row r="36" spans="1:5" x14ac:dyDescent="0.25">
      <c r="A36" s="14"/>
      <c r="B36" s="32"/>
      <c r="C36" s="32"/>
      <c r="D36" s="21"/>
      <c r="E36" s="18"/>
    </row>
    <row r="37" spans="1:5" x14ac:dyDescent="0.25">
      <c r="A37" s="14"/>
      <c r="B37" s="32"/>
      <c r="C37" s="32"/>
      <c r="D37" s="21"/>
      <c r="E37" s="18"/>
    </row>
    <row r="38" spans="1:5" x14ac:dyDescent="0.25">
      <c r="A38" s="14"/>
      <c r="B38" s="32"/>
      <c r="C38" s="32"/>
      <c r="D38" s="21"/>
      <c r="E38" s="18"/>
    </row>
    <row r="39" spans="1:5" x14ac:dyDescent="0.25">
      <c r="A39" s="14"/>
      <c r="B39" s="32"/>
      <c r="C39" s="32"/>
      <c r="D39" s="21"/>
      <c r="E39" s="18"/>
    </row>
    <row r="40" spans="1:5" x14ac:dyDescent="0.25">
      <c r="A40" s="14"/>
      <c r="B40" s="32"/>
      <c r="C40" s="32"/>
      <c r="D40" s="21"/>
      <c r="E40" s="18"/>
    </row>
    <row r="41" spans="1:5" x14ac:dyDescent="0.25">
      <c r="A41" s="14"/>
      <c r="B41" s="32"/>
      <c r="C41" s="32"/>
      <c r="D41" s="21"/>
      <c r="E41" s="18"/>
    </row>
    <row r="42" spans="1:5" x14ac:dyDescent="0.25">
      <c r="A42" s="14"/>
      <c r="B42" s="32"/>
      <c r="C42" s="32"/>
      <c r="D42" s="21"/>
      <c r="E42" s="18"/>
    </row>
    <row r="43" spans="1:5" x14ac:dyDescent="0.25">
      <c r="A43" s="14"/>
      <c r="B43" s="32"/>
      <c r="C43" s="32"/>
      <c r="D43" s="21"/>
      <c r="E43" s="18"/>
    </row>
    <row r="44" spans="1:5" x14ac:dyDescent="0.25">
      <c r="A44" s="14"/>
      <c r="B44" s="32"/>
      <c r="C44" s="32"/>
      <c r="D44" s="21"/>
      <c r="E44" s="18"/>
    </row>
    <row r="45" spans="1:5" x14ac:dyDescent="0.25">
      <c r="A45" s="14"/>
      <c r="B45" s="32"/>
      <c r="C45" s="32"/>
      <c r="D45" s="21"/>
      <c r="E45" s="18"/>
    </row>
    <row r="46" spans="1:5" x14ac:dyDescent="0.25">
      <c r="A46" s="14"/>
      <c r="B46" s="32"/>
      <c r="C46" s="32"/>
      <c r="D46" s="21"/>
      <c r="E46" s="18"/>
    </row>
  </sheetData>
  <mergeCells count="11">
    <mergeCell ref="B41:C41"/>
    <mergeCell ref="B36:C36"/>
    <mergeCell ref="B37:C37"/>
    <mergeCell ref="B38:C38"/>
    <mergeCell ref="B39:C39"/>
    <mergeCell ref="B40:C40"/>
    <mergeCell ref="B42:C42"/>
    <mergeCell ref="B43:C43"/>
    <mergeCell ref="B44:C44"/>
    <mergeCell ref="B45:C45"/>
    <mergeCell ref="B46:C4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2"/>
  <sheetViews>
    <sheetView tabSelected="1" workbookViewId="0">
      <selection activeCell="G38" sqref="G38"/>
    </sheetView>
  </sheetViews>
  <sheetFormatPr defaultRowHeight="15" x14ac:dyDescent="0.25"/>
  <sheetData>
    <row r="1" spans="1:4" x14ac:dyDescent="0.25">
      <c r="A1" s="25" t="s">
        <v>0</v>
      </c>
      <c r="B1" s="25" t="s">
        <v>1</v>
      </c>
      <c r="C1" s="26" t="s">
        <v>2</v>
      </c>
      <c r="D1" s="26" t="s">
        <v>3</v>
      </c>
    </row>
    <row r="2" spans="1:4" x14ac:dyDescent="0.25">
      <c r="A2" s="2" t="s">
        <v>4</v>
      </c>
      <c r="B2" s="2">
        <v>13.2</v>
      </c>
      <c r="C2" s="6">
        <v>5.8171745152354504</v>
      </c>
      <c r="D2" s="5">
        <f>B2*C2/100</f>
        <v>0.76786703601107942</v>
      </c>
    </row>
    <row r="3" spans="1:4" x14ac:dyDescent="0.25">
      <c r="A3" s="2" t="s">
        <v>6</v>
      </c>
      <c r="B3" s="2">
        <v>5.53</v>
      </c>
      <c r="C3" s="6">
        <v>-9.9893162393162296</v>
      </c>
      <c r="D3" s="5">
        <f>B3*C3/100</f>
        <v>-0.55240918803418748</v>
      </c>
    </row>
    <row r="4" spans="1:4" x14ac:dyDescent="0.25">
      <c r="A4" s="2" t="s">
        <v>12</v>
      </c>
      <c r="B4" s="2">
        <v>12.08</v>
      </c>
      <c r="C4" s="6">
        <v>8</v>
      </c>
      <c r="D4" s="5">
        <f t="shared" ref="D4:D21" si="0">B4*C4/100</f>
        <v>0.96640000000000004</v>
      </c>
    </row>
    <row r="5" spans="1:4" x14ac:dyDescent="0.25">
      <c r="A5" s="2" t="s">
        <v>10</v>
      </c>
      <c r="B5" s="2">
        <v>11.58</v>
      </c>
      <c r="C5" s="6">
        <v>9.0909090909090899</v>
      </c>
      <c r="D5" s="5">
        <f t="shared" si="0"/>
        <v>1.0527272727272727</v>
      </c>
    </row>
    <row r="6" spans="1:4" x14ac:dyDescent="0.25">
      <c r="A6" s="2" t="s">
        <v>9</v>
      </c>
      <c r="B6" s="2">
        <v>10.59</v>
      </c>
      <c r="C6" s="6">
        <v>9.9442379182156095</v>
      </c>
      <c r="D6" s="5">
        <f t="shared" si="0"/>
        <v>1.0530947955390331</v>
      </c>
    </row>
    <row r="7" spans="1:4" x14ac:dyDescent="0.25">
      <c r="A7" s="2" t="s">
        <v>13</v>
      </c>
      <c r="B7" s="2">
        <v>8.5399999999999991</v>
      </c>
      <c r="C7" s="6">
        <v>6.0606060606060597</v>
      </c>
      <c r="D7" s="5">
        <f t="shared" si="0"/>
        <v>0.51757575757575747</v>
      </c>
    </row>
    <row r="8" spans="1:4" x14ac:dyDescent="0.25">
      <c r="A8" s="2" t="s">
        <v>7</v>
      </c>
      <c r="B8" s="2">
        <v>2.82</v>
      </c>
      <c r="C8" s="6">
        <v>1.8518518518518501</v>
      </c>
      <c r="D8" s="5">
        <f t="shared" si="0"/>
        <v>5.222222222222217E-2</v>
      </c>
    </row>
    <row r="9" spans="1:4" x14ac:dyDescent="0.25">
      <c r="A9" s="2" t="s">
        <v>21</v>
      </c>
      <c r="B9" s="2">
        <v>2.02</v>
      </c>
      <c r="C9" s="6">
        <v>-1.12842557764642</v>
      </c>
      <c r="D9" s="5">
        <f t="shared" si="0"/>
        <v>-2.2794196668457688E-2</v>
      </c>
    </row>
    <row r="10" spans="1:4" x14ac:dyDescent="0.25">
      <c r="A10" s="2" t="s">
        <v>17</v>
      </c>
      <c r="B10" s="2">
        <v>1.27</v>
      </c>
      <c r="C10" s="6">
        <v>3.6180904522613</v>
      </c>
      <c r="D10" s="5">
        <f t="shared" si="0"/>
        <v>4.5949748743718509E-2</v>
      </c>
    </row>
    <row r="11" spans="1:4" x14ac:dyDescent="0.25">
      <c r="A11" s="2" t="s">
        <v>5</v>
      </c>
      <c r="B11" s="2">
        <v>1.85</v>
      </c>
      <c r="C11" s="6">
        <v>-9.9793814432989691</v>
      </c>
      <c r="D11" s="5">
        <f t="shared" si="0"/>
        <v>-0.18461855670103094</v>
      </c>
    </row>
    <row r="12" spans="1:4" x14ac:dyDescent="0.25">
      <c r="A12" s="2" t="s">
        <v>11</v>
      </c>
      <c r="B12" s="2">
        <v>1.32</v>
      </c>
      <c r="C12" s="6">
        <v>-0.47281323877068498</v>
      </c>
      <c r="D12" s="5">
        <f t="shared" si="0"/>
        <v>-6.241134751773042E-3</v>
      </c>
    </row>
    <row r="13" spans="1:4" x14ac:dyDescent="0.25">
      <c r="A13" s="2" t="s">
        <v>8</v>
      </c>
      <c r="B13" s="2">
        <v>0.74</v>
      </c>
      <c r="C13" s="6">
        <v>2.3796347537354698</v>
      </c>
      <c r="D13" s="5">
        <f t="shared" si="0"/>
        <v>1.7609297177642477E-2</v>
      </c>
    </row>
    <row r="14" spans="1:4" x14ac:dyDescent="0.25">
      <c r="A14" s="2" t="s">
        <v>67</v>
      </c>
      <c r="B14" s="2">
        <v>0.18</v>
      </c>
      <c r="C14" s="6">
        <v>-0.89988751406074197</v>
      </c>
      <c r="D14" s="5">
        <f t="shared" si="0"/>
        <v>-1.6197975253093356E-3</v>
      </c>
    </row>
    <row r="15" spans="1:4" x14ac:dyDescent="0.25">
      <c r="A15" s="2" t="s">
        <v>103</v>
      </c>
      <c r="B15" s="2">
        <v>0.04</v>
      </c>
      <c r="C15" s="6">
        <v>0</v>
      </c>
      <c r="D15" s="5">
        <f t="shared" si="0"/>
        <v>0</v>
      </c>
    </row>
    <row r="16" spans="1:4" x14ac:dyDescent="0.25">
      <c r="A16" s="2" t="s">
        <v>14</v>
      </c>
      <c r="B16" s="2">
        <v>0.05</v>
      </c>
      <c r="C16" s="6">
        <v>0.48309178743961301</v>
      </c>
      <c r="D16" s="5">
        <f t="shared" si="0"/>
        <v>2.4154589371980651E-4</v>
      </c>
    </row>
    <row r="17" spans="1:4" x14ac:dyDescent="0.25">
      <c r="A17" s="2" t="s">
        <v>51</v>
      </c>
      <c r="B17" s="2">
        <v>0.33</v>
      </c>
      <c r="C17" s="6">
        <v>1.51843817787418</v>
      </c>
      <c r="D17" s="5">
        <f t="shared" si="0"/>
        <v>5.0108459869847941E-3</v>
      </c>
    </row>
    <row r="18" spans="1:4" x14ac:dyDescent="0.25">
      <c r="A18" s="2" t="s">
        <v>30</v>
      </c>
      <c r="B18" s="2">
        <v>0.12</v>
      </c>
      <c r="C18" s="6">
        <v>1.89370800244349</v>
      </c>
      <c r="D18" s="5">
        <f t="shared" si="0"/>
        <v>2.2724496029321879E-3</v>
      </c>
    </row>
    <row r="19" spans="1:4" x14ac:dyDescent="0.25">
      <c r="A19" s="2" t="s">
        <v>87</v>
      </c>
      <c r="B19" s="2">
        <v>0.18</v>
      </c>
      <c r="C19" s="6">
        <v>-0.59331175836030203</v>
      </c>
      <c r="D19" s="5">
        <f t="shared" si="0"/>
        <v>-1.0679611650485437E-3</v>
      </c>
    </row>
    <row r="20" spans="1:4" x14ac:dyDescent="0.25">
      <c r="A20" s="2" t="s">
        <v>36</v>
      </c>
      <c r="B20" s="2">
        <v>0.24</v>
      </c>
      <c r="C20" s="6">
        <v>3.44827586206896</v>
      </c>
      <c r="D20" s="5">
        <f t="shared" si="0"/>
        <v>8.2758620689655036E-3</v>
      </c>
    </row>
    <row r="21" spans="1:4" x14ac:dyDescent="0.25">
      <c r="A21" s="2" t="s">
        <v>16</v>
      </c>
      <c r="B21" s="2">
        <v>7.0000000000000007E-2</v>
      </c>
      <c r="C21" s="6">
        <v>2.8901734104046199</v>
      </c>
      <c r="D21" s="5">
        <f t="shared" si="0"/>
        <v>2.0231213872832342E-3</v>
      </c>
    </row>
    <row r="22" spans="1:4" x14ac:dyDescent="0.25">
      <c r="A22" s="31" t="s">
        <v>24</v>
      </c>
      <c r="B22" s="28">
        <f>SUM(B2:B21)</f>
        <v>72.749999999999986</v>
      </c>
      <c r="C22" s="27"/>
      <c r="D22" s="28">
        <f>SUM(D2:D21)</f>
        <v>3.7225191200908045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TLY</vt:lpstr>
      <vt:lpstr>PHE</vt:lpstr>
      <vt:lpstr>DFI</vt:lpstr>
      <vt:lpstr>KHA</vt:lpstr>
      <vt:lpstr>THF</vt:lpstr>
      <vt:lpstr>TMV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hf vbn</cp:lastModifiedBy>
  <dcterms:modified xsi:type="dcterms:W3CDTF">2026-08-27T15:15:45Z</dcterms:modified>
</cp:coreProperties>
</file>