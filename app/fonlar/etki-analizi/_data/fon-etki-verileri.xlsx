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BB2279B3-700D-4C95-B97F-1624E0CF8B4C}" xr6:coauthVersionLast="47" xr6:coauthVersionMax="47" xr10:uidLastSave="{00000000-0000-0000-0000-000000000000}"/>
  <bookViews>
    <workbookView xWindow="-31635" yWindow="60" windowWidth="15015" windowHeight="20805" activeTab="4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KHA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10" i="1"/>
  <c r="D9" i="1"/>
  <c r="D8" i="1"/>
  <c r="D6" i="1"/>
  <c r="D5" i="1"/>
  <c r="D4" i="1"/>
  <c r="D2" i="1"/>
  <c r="D7" i="1"/>
  <c r="D3" i="1"/>
  <c r="D16" i="1"/>
  <c r="B17" i="1"/>
  <c r="D17" i="1" l="1"/>
  <c r="D35" i="7"/>
  <c r="D34" i="7"/>
  <c r="D32" i="7"/>
  <c r="D31" i="7"/>
  <c r="D27" i="7"/>
  <c r="D25" i="7"/>
  <c r="D24" i="7"/>
  <c r="D23" i="7"/>
  <c r="D22" i="7"/>
  <c r="D19" i="7"/>
  <c r="D17" i="7"/>
  <c r="D16" i="7"/>
  <c r="D15" i="7"/>
  <c r="D13" i="7"/>
  <c r="D12" i="7"/>
  <c r="D11" i="7"/>
  <c r="D10" i="7"/>
  <c r="D9" i="7"/>
  <c r="D8" i="7"/>
  <c r="D6" i="7"/>
  <c r="D5" i="7"/>
  <c r="D4" i="7"/>
  <c r="D3" i="7"/>
  <c r="D2" i="7"/>
  <c r="B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3" i="7"/>
  <c r="D30" i="7"/>
  <c r="D29" i="7"/>
  <c r="D28" i="7"/>
  <c r="D26" i="7"/>
  <c r="D21" i="7"/>
  <c r="D20" i="7"/>
  <c r="D18" i="7"/>
  <c r="D14" i="7"/>
  <c r="D7" i="7"/>
  <c r="D51" i="7" l="1"/>
  <c r="D31" i="3"/>
  <c r="D32" i="3"/>
  <c r="D33" i="3"/>
  <c r="D34" i="3"/>
  <c r="D35" i="3"/>
  <c r="D36" i="3"/>
  <c r="B37" i="3"/>
  <c r="D41" i="2"/>
  <c r="D42" i="2"/>
  <c r="D43" i="2"/>
  <c r="B6" i="4"/>
  <c r="D2" i="4"/>
  <c r="D3" i="4"/>
  <c r="D4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B44" i="2"/>
  <c r="D5" i="4"/>
  <c r="D37" i="3" l="1"/>
  <c r="D44" i="2"/>
  <c r="D6" i="4"/>
</calcChain>
</file>

<file path=xl/sharedStrings.xml><?xml version="1.0" encoding="utf-8"?>
<sst xmlns="http://schemas.openxmlformats.org/spreadsheetml/2006/main" count="195" uniqueCount="96">
  <si>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</si>
  <si>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</si>
  <si>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</si>
  <si>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</si>
  <si>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</si>
  <si>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</si>
  <si>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</si>
  <si>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</si>
  <si>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</si>
  <si>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</si>
  <si>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</si>
  <si>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</si>
  <si>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</si>
  <si>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</si>
  <si>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</si>
  <si>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</si>
  <si>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</si>
  <si>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</si>
  <si>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</si>
  <si>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</si>
  <si>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</si>
  <si>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</si>
  <si>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</si>
  <si>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</si>
  <si>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</si>
  <si>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</si>
  <si>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</si>
  <si>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</si>
  <si>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TTKOM</t>
  </si>
  <si>
    <t>GARAN</t>
  </si>
  <si>
    <t>ENKAI</t>
  </si>
  <si>
    <t>AKSEN</t>
  </si>
  <si>
    <t>ALVES</t>
  </si>
  <si>
    <t>PGSUS</t>
  </si>
  <si>
    <t>IZFAS</t>
  </si>
  <si>
    <t>GUBRF</t>
  </si>
  <si>
    <t>SKBNK</t>
  </si>
  <si>
    <t>MPARK</t>
  </si>
  <si>
    <t>DCTTR</t>
  </si>
  <si>
    <t>BRSAN</t>
  </si>
  <si>
    <t>ANSGR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</si>
  <si>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</si>
  <si>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</si>
  <si>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</si>
  <si>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</si>
  <si>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</si>
  <si>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</si>
  <si>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</si>
  <si>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</si>
  <si>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</si>
  <si>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</si>
  <si>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</si>
  <si>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Yatırımcı Sayısı</t>
  </si>
  <si>
    <t>Fon Toplam Değer</t>
  </si>
  <si>
    <t>ETKİ ORANI</t>
  </si>
  <si>
    <t>BALSU</t>
  </si>
  <si>
    <t>PRY</t>
  </si>
  <si>
    <t>IZENR</t>
  </si>
  <si>
    <t>TAVHL</t>
  </si>
  <si>
    <t>MOPAS</t>
  </si>
  <si>
    <t>EREGL</t>
  </si>
  <si>
    <t>BETAE</t>
  </si>
  <si>
    <t>TRMET</t>
  </si>
  <si>
    <t>Toplam</t>
  </si>
  <si>
    <t>PNU</t>
  </si>
  <si>
    <t>PGH</t>
  </si>
  <si>
    <t>PA2</t>
  </si>
  <si>
    <t>Para Girişi/Çıkışı</t>
  </si>
  <si>
    <t>Tarih</t>
  </si>
  <si>
    <t>MARJ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</si>
  <si>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</si>
  <si>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</si>
  <si>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</si>
  <si>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</si>
  <si>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</si>
  <si>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</si>
  <si>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</si>
  <si>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</si>
  <si>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</si>
  <si>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</si>
  <si>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KRDMD</t>
  </si>
  <si>
    <t>CCOLA</t>
  </si>
  <si>
    <t>CANTE</t>
  </si>
  <si>
    <t>ALARK</t>
  </si>
  <si>
    <t>SISE</t>
  </si>
  <si>
    <t>AGHOL</t>
  </si>
  <si>
    <t>FROTO</t>
  </si>
  <si>
    <t>EGEPO</t>
  </si>
  <si>
    <t>MAVI</t>
  </si>
  <si>
    <t>BRKO</t>
  </si>
  <si>
    <t>ASELS</t>
  </si>
  <si>
    <t>TURSG</t>
  </si>
  <si>
    <t>KGYO</t>
  </si>
  <si>
    <t>TUPRS</t>
  </si>
  <si>
    <t>BIZIM</t>
  </si>
  <si>
    <t>İSVEA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</si>
</sst>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₺&quot;#,##0.00"/>
    <numFmt numFmtId="166" formatCode="0.000"/>
    <numFmt numFmtId="167" formatCode="&quot;₺&quot;#,##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G26" sqref="G26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0</v>
      </c>
      <c r="B2" s="4">
        <v>22.85</v>
      </c>
      <c r="C2" s="3">
        <v>-0.67681895093062605</v>
      </c>
      <c r="D2" s="7">
        <f>B2*C2/100</f>
        <v>-0.15465313028764804</v>
      </c>
    </row>
    <row r="3" spans="1:4" x14ac:dyDescent="0.25">
      <c r="A3" s="4" t="s">
        <v>1</v>
      </c>
      <c r="B3" s="4">
        <v>14.3</v>
      </c>
      <c r="C3" s="3">
        <v>1.5625</v>
      </c>
      <c r="D3" s="7">
        <f>B3*C3/100</f>
        <v>0.22343750000000001</v>
      </c>
    </row>
    <row r="4" spans="1:4" x14ac:dyDescent="0.25">
      <c r="A4" s="4" t="s">
        <v>3</v>
      </c>
      <c r="B4" s="4">
        <v>8.14</v>
      </c>
      <c r="C4" s="3">
        <v>-2.0408163265306101</v>
      </c>
      <c r="D4" s="7">
        <f t="shared" ref="D4:D16" si="0">B4*C4/100</f>
        <v>-0.16612244897959169</v>
      </c>
    </row>
    <row r="5" spans="1:4" x14ac:dyDescent="0.25">
      <c r="A5" s="4" t="s">
        <v>5</v>
      </c>
      <c r="B5" s="4">
        <v>7.14</v>
      </c>
      <c r="C5" s="3">
        <v>0.80482897384305796</v>
      </c>
      <c r="D5" s="7">
        <f t="shared" si="0"/>
        <v>5.7464788732394335E-2</v>
      </c>
    </row>
    <row r="6" spans="1:4" x14ac:dyDescent="0.25">
      <c r="A6" s="4" t="s">
        <v>2</v>
      </c>
      <c r="B6" s="4">
        <v>6.63</v>
      </c>
      <c r="C6" s="3">
        <v>-1.6189962223421399</v>
      </c>
      <c r="D6" s="7">
        <f t="shared" si="0"/>
        <v>-0.10733944954128388</v>
      </c>
    </row>
    <row r="7" spans="1:4" x14ac:dyDescent="0.25">
      <c r="A7" s="4" t="s">
        <v>4</v>
      </c>
      <c r="B7" s="4">
        <v>5.61</v>
      </c>
      <c r="C7" s="3">
        <v>1.0309278350515401</v>
      </c>
      <c r="D7" s="7">
        <f t="shared" si="0"/>
        <v>5.7835051546391403E-2</v>
      </c>
    </row>
    <row r="8" spans="1:4" x14ac:dyDescent="0.25">
      <c r="A8" s="4" t="s">
        <v>6</v>
      </c>
      <c r="B8" s="4">
        <v>1.99</v>
      </c>
      <c r="C8" s="3">
        <v>0</v>
      </c>
      <c r="D8" s="7">
        <f t="shared" si="0"/>
        <v>0</v>
      </c>
    </row>
    <row r="9" spans="1:4" x14ac:dyDescent="0.25">
      <c r="A9" s="4" t="s">
        <v>49</v>
      </c>
      <c r="B9" s="4">
        <v>1.04</v>
      </c>
      <c r="C9" s="3">
        <v>-1.19981541301338</v>
      </c>
      <c r="D9" s="7">
        <f t="shared" si="0"/>
        <v>-1.2478080295339153E-2</v>
      </c>
    </row>
    <row r="10" spans="1:4" x14ac:dyDescent="0.25">
      <c r="A10" s="4" t="s">
        <v>7</v>
      </c>
      <c r="B10" s="4">
        <v>0.54</v>
      </c>
      <c r="C10" s="3">
        <v>-0.47058823529411697</v>
      </c>
      <c r="D10" s="7">
        <f t="shared" si="0"/>
        <v>-2.5411764705882316E-3</v>
      </c>
    </row>
    <row r="11" spans="1:4" x14ac:dyDescent="0.25">
      <c r="A11" s="4" t="s">
        <v>8</v>
      </c>
      <c r="B11" s="4">
        <v>0.52</v>
      </c>
      <c r="C11" s="3">
        <v>3.30578512396694</v>
      </c>
      <c r="D11" s="7">
        <f t="shared" si="0"/>
        <v>1.7190082644628089E-2</v>
      </c>
    </row>
    <row r="12" spans="1:4" x14ac:dyDescent="0.25">
      <c r="A12" s="4" t="s">
        <v>95</v>
      </c>
      <c r="B12" s="4">
        <v>0.28000000000000003</v>
      </c>
      <c r="C12" s="3">
        <v>-3.63636363636363</v>
      </c>
      <c r="D12" s="7">
        <f t="shared" si="0"/>
        <v>-1.0181818181818165E-2</v>
      </c>
    </row>
    <row r="13" spans="1:4" x14ac:dyDescent="0.25">
      <c r="A13" s="4" t="s">
        <v>9</v>
      </c>
      <c r="B13" s="4">
        <v>0.27</v>
      </c>
      <c r="C13" s="3">
        <v>-9.9719363891487305</v>
      </c>
      <c r="D13" s="7">
        <f t="shared" si="0"/>
        <v>-2.6924228250701576E-2</v>
      </c>
    </row>
    <row r="14" spans="1:4" x14ac:dyDescent="0.25">
      <c r="A14" s="4" t="s">
        <v>50</v>
      </c>
      <c r="B14" s="4">
        <v>0.14000000000000001</v>
      </c>
      <c r="C14" s="3">
        <v>-0.13046314416177399</v>
      </c>
      <c r="D14" s="7">
        <f t="shared" si="0"/>
        <v>-1.8264840182648359E-4</v>
      </c>
    </row>
    <row r="15" spans="1:4" x14ac:dyDescent="0.25">
      <c r="A15" s="4" t="s">
        <v>27</v>
      </c>
      <c r="B15" s="4">
        <v>7.0000000000000007E-2</v>
      </c>
      <c r="C15" s="3">
        <v>-6.0773480662983399</v>
      </c>
      <c r="D15" s="7">
        <f t="shared" si="0"/>
        <v>-4.2541436464088381E-3</v>
      </c>
    </row>
    <row r="16" spans="1:4" x14ac:dyDescent="0.25">
      <c r="A16" s="4" t="s">
        <v>51</v>
      </c>
      <c r="B16" s="4">
        <v>1.27</v>
      </c>
      <c r="C16" s="3">
        <v>1.66</v>
      </c>
      <c r="D16" s="7">
        <f t="shared" si="0"/>
        <v>2.1082E-2</v>
      </c>
    </row>
    <row r="17" spans="1:6" x14ac:dyDescent="0.25">
      <c r="A17" s="16" t="s">
        <v>63</v>
      </c>
      <c r="B17" s="5">
        <f>B2+B3+B4+B5+B6+B7+B8+B9+B10+B11+B12+B13+B14+B15+B16</f>
        <v>70.790000000000006</v>
      </c>
      <c r="C17" s="5"/>
      <c r="D17" s="6">
        <f>D2+D3+D4+D5+D6+D7+D8+D9+D10+D11+D12+D13+D14+D15+D16</f>
        <v>-0.10766770113179223</v>
      </c>
    </row>
    <row r="18" spans="1:6" x14ac:dyDescent="0.25">
      <c r="A18" s="16"/>
      <c r="B18" s="5"/>
      <c r="C18" s="5"/>
      <c r="D18" s="6"/>
    </row>
    <row r="19" spans="1:6" x14ac:dyDescent="0.25">
      <c r="A19" s="16"/>
      <c r="B19" s="5"/>
      <c r="C19" s="5"/>
      <c r="D19" s="6"/>
    </row>
    <row r="20" spans="1:6" x14ac:dyDescent="0.25">
      <c r="A20" s="16"/>
      <c r="B20" s="5"/>
      <c r="C20" s="5"/>
      <c r="D20" s="6"/>
    </row>
    <row r="21" spans="1:6" x14ac:dyDescent="0.25">
      <c r="A21" s="16"/>
      <c r="B21" s="5"/>
      <c r="C21" s="5"/>
      <c r="D21" s="6"/>
    </row>
    <row r="22" spans="1:6" x14ac:dyDescent="0.25">
      <c r="A22" s="16"/>
      <c r="B22" s="5"/>
      <c r="C22" s="5"/>
      <c r="D22" s="6"/>
    </row>
    <row r="23" spans="1:6" x14ac:dyDescent="0.25">
      <c r="A23" s="16"/>
      <c r="B23" s="5"/>
      <c r="C23" s="5"/>
      <c r="D23" s="6"/>
    </row>
    <row r="24" spans="1:6" x14ac:dyDescent="0.25">
      <c r="A24" s="16"/>
      <c r="B24" s="5"/>
      <c r="C24" s="5"/>
      <c r="D24" s="6"/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9"/>
      <c r="B29" s="29"/>
      <c r="C29" s="4"/>
      <c r="D29" s="4"/>
      <c r="E29" s="17"/>
    </row>
    <row r="30" spans="1:6" x14ac:dyDescent="0.25">
      <c r="A30" s="29"/>
      <c r="B30" s="29"/>
      <c r="C30" s="9"/>
      <c r="D30" s="19"/>
    </row>
    <row r="31" spans="1:6" x14ac:dyDescent="0.25">
      <c r="A31" s="5" t="s">
        <v>68</v>
      </c>
      <c r="B31" s="30" t="s">
        <v>52</v>
      </c>
      <c r="C31" s="30"/>
      <c r="D31" s="20" t="s">
        <v>53</v>
      </c>
      <c r="E31" s="5" t="s">
        <v>67</v>
      </c>
      <c r="F31" s="5" t="s">
        <v>69</v>
      </c>
    </row>
    <row r="32" spans="1:6" x14ac:dyDescent="0.25">
      <c r="A32" s="18">
        <v>46226</v>
      </c>
      <c r="B32" s="29">
        <v>98970</v>
      </c>
      <c r="C32" s="29"/>
      <c r="D32" s="25">
        <v>232874657613</v>
      </c>
      <c r="E32" s="21">
        <v>1310146537</v>
      </c>
      <c r="F32" s="24">
        <v>2.1100000000000001E-2</v>
      </c>
    </row>
    <row r="33" spans="1:6" x14ac:dyDescent="0.25">
      <c r="A33" s="18">
        <v>46227</v>
      </c>
      <c r="B33" s="29">
        <v>99051</v>
      </c>
      <c r="C33" s="29"/>
      <c r="D33" s="25">
        <v>227320292084</v>
      </c>
      <c r="E33" s="22">
        <v>-6072488957</v>
      </c>
      <c r="F33" s="24">
        <v>2.2000000000000001E-3</v>
      </c>
    </row>
    <row r="34" spans="1:6" x14ac:dyDescent="0.25">
      <c r="A34" s="18">
        <v>46230</v>
      </c>
      <c r="B34" s="29">
        <v>98455</v>
      </c>
      <c r="C34" s="29"/>
      <c r="D34" s="25">
        <v>229116006481</v>
      </c>
      <c r="E34" s="22">
        <v>291803673</v>
      </c>
      <c r="F34" s="24">
        <v>6.6E-3</v>
      </c>
    </row>
    <row r="35" spans="1:6" x14ac:dyDescent="0.25">
      <c r="A35" s="18">
        <v>46231</v>
      </c>
      <c r="B35" s="29">
        <v>98583</v>
      </c>
      <c r="C35" s="29"/>
      <c r="D35" s="25">
        <v>232227975662</v>
      </c>
      <c r="E35" s="22">
        <v>-464304680</v>
      </c>
      <c r="F35" s="24">
        <v>1.5600000000000001E-2</v>
      </c>
    </row>
    <row r="36" spans="1:6" x14ac:dyDescent="0.25">
      <c r="A36" s="18">
        <v>46232</v>
      </c>
      <c r="B36" s="29">
        <v>98915</v>
      </c>
      <c r="C36" s="29"/>
      <c r="D36" s="25">
        <v>226192717226</v>
      </c>
      <c r="E36" s="22">
        <v>-7041302653</v>
      </c>
      <c r="F36" s="24">
        <v>4.3E-3</v>
      </c>
    </row>
    <row r="37" spans="1:6" x14ac:dyDescent="0.25">
      <c r="A37" s="18">
        <v>46233</v>
      </c>
      <c r="B37" s="29">
        <v>97411</v>
      </c>
      <c r="C37" s="29"/>
      <c r="D37" s="25">
        <v>223802010766</v>
      </c>
      <c r="E37" s="22">
        <v>-1443647505</v>
      </c>
      <c r="F37" s="24">
        <v>-4.1999999999999997E-3</v>
      </c>
    </row>
    <row r="38" spans="1:6" x14ac:dyDescent="0.25">
      <c r="A38" s="18">
        <v>46234</v>
      </c>
      <c r="B38" s="29">
        <v>97269</v>
      </c>
      <c r="C38" s="29"/>
      <c r="D38" s="25">
        <v>223121593370</v>
      </c>
      <c r="E38" s="22">
        <v>-3172256453</v>
      </c>
      <c r="F38" s="24">
        <v>1.11E-2</v>
      </c>
    </row>
    <row r="39" spans="1:6" x14ac:dyDescent="0.25">
      <c r="A39" s="18">
        <v>46237</v>
      </c>
      <c r="B39" s="29">
        <v>96829</v>
      </c>
      <c r="C39" s="29"/>
      <c r="D39" s="25">
        <v>222116113609</v>
      </c>
      <c r="E39" s="22">
        <v>-2851667712</v>
      </c>
      <c r="F39" s="24">
        <v>8.3000000000000001E-3</v>
      </c>
    </row>
    <row r="40" spans="1:6" x14ac:dyDescent="0.25">
      <c r="A40" s="18">
        <v>46238</v>
      </c>
      <c r="B40" s="29">
        <v>95992</v>
      </c>
      <c r="C40" s="29"/>
      <c r="D40" s="25">
        <v>223759283155</v>
      </c>
      <c r="E40" s="22">
        <v>-2851667712</v>
      </c>
      <c r="F40" s="24">
        <v>7.4000000000000003E-3</v>
      </c>
    </row>
    <row r="41" spans="1:6" x14ac:dyDescent="0.25">
      <c r="A41" s="18">
        <v>46239</v>
      </c>
      <c r="B41" s="29">
        <v>97092</v>
      </c>
      <c r="C41" s="29"/>
      <c r="D41" s="25">
        <v>230332113229</v>
      </c>
      <c r="E41" s="22">
        <v>4240768585</v>
      </c>
      <c r="F41" s="24">
        <v>1.04E-2</v>
      </c>
    </row>
    <row r="42" spans="1:6" x14ac:dyDescent="0.25">
      <c r="A42" s="18">
        <v>46240</v>
      </c>
      <c r="B42" s="29">
        <v>98383</v>
      </c>
      <c r="C42" s="29"/>
      <c r="D42" s="25">
        <v>243191073731</v>
      </c>
      <c r="E42" s="22">
        <v>5542399816</v>
      </c>
      <c r="F42" s="24">
        <v>3.1800000000000002E-2</v>
      </c>
    </row>
    <row r="43" spans="1:6" x14ac:dyDescent="0.25">
      <c r="A43" s="18">
        <v>46241</v>
      </c>
      <c r="B43" s="29">
        <v>99770</v>
      </c>
      <c r="C43" s="29"/>
      <c r="D43" s="25">
        <v>251321783060</v>
      </c>
      <c r="E43" s="22">
        <v>6496955531</v>
      </c>
      <c r="F43" s="24">
        <v>5.4000000000000003E-3</v>
      </c>
    </row>
    <row r="44" spans="1:6" x14ac:dyDescent="0.25">
      <c r="A44" s="18">
        <v>46244</v>
      </c>
      <c r="B44" s="29">
        <v>101266</v>
      </c>
      <c r="C44" s="29"/>
      <c r="D44" s="25">
        <v>257684170583</v>
      </c>
      <c r="E44" s="22">
        <v>4255223231</v>
      </c>
      <c r="F44" s="24">
        <v>5.8999999999999999E-3</v>
      </c>
    </row>
  </sheetData>
  <mergeCells count="16">
    <mergeCell ref="B44:C44"/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workbookViewId="0">
      <selection activeCell="C2" sqref="C2:C43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13</v>
      </c>
      <c r="B2" s="4">
        <v>8.92</v>
      </c>
      <c r="C2" s="14">
        <v>2.1110601193207801</v>
      </c>
      <c r="D2" s="4">
        <f>B2*C2/100</f>
        <v>0.18830656264341358</v>
      </c>
    </row>
    <row r="3" spans="1:4" x14ac:dyDescent="0.25">
      <c r="A3" s="4" t="s">
        <v>14</v>
      </c>
      <c r="B3" s="4">
        <v>8.81</v>
      </c>
      <c r="C3" s="14">
        <v>6.8119891008174296</v>
      </c>
      <c r="D3" s="4">
        <f t="shared" ref="D3:D43" si="0">B3*C3/100</f>
        <v>0.60013623978201558</v>
      </c>
    </row>
    <row r="4" spans="1:4" x14ac:dyDescent="0.25">
      <c r="A4" s="4" t="s">
        <v>12</v>
      </c>
      <c r="B4" s="4">
        <v>8.2799999999999994</v>
      </c>
      <c r="C4" s="14">
        <v>9.9123767798466496</v>
      </c>
      <c r="D4" s="4">
        <f t="shared" si="0"/>
        <v>0.82074479737130246</v>
      </c>
    </row>
    <row r="5" spans="1:4" x14ac:dyDescent="0.25">
      <c r="A5" s="4" t="s">
        <v>15</v>
      </c>
      <c r="B5" s="4">
        <v>6.17</v>
      </c>
      <c r="C5" s="14">
        <v>0.45924225028702598</v>
      </c>
      <c r="D5" s="4">
        <f t="shared" si="0"/>
        <v>2.8335246842709504E-2</v>
      </c>
    </row>
    <row r="6" spans="1:4" x14ac:dyDescent="0.25">
      <c r="A6" s="4" t="s">
        <v>9</v>
      </c>
      <c r="B6" s="4">
        <v>4.75</v>
      </c>
      <c r="C6" s="14">
        <v>-9.9719363891487305</v>
      </c>
      <c r="D6" s="4">
        <f t="shared" si="0"/>
        <v>-0.47366697848456468</v>
      </c>
    </row>
    <row r="7" spans="1:4" x14ac:dyDescent="0.25">
      <c r="A7" s="4" t="s">
        <v>16</v>
      </c>
      <c r="B7" s="4">
        <v>4.42</v>
      </c>
      <c r="C7" s="14">
        <v>-1.06122448979591</v>
      </c>
      <c r="D7" s="4">
        <f t="shared" si="0"/>
        <v>-4.6906122448979223E-2</v>
      </c>
    </row>
    <row r="8" spans="1:4" x14ac:dyDescent="0.25">
      <c r="A8" s="4" t="s">
        <v>19</v>
      </c>
      <c r="B8" s="4">
        <v>3.77</v>
      </c>
      <c r="C8" s="14">
        <v>-0.89020771513353103</v>
      </c>
      <c r="D8" s="4">
        <f t="shared" si="0"/>
        <v>-3.3560830860534116E-2</v>
      </c>
    </row>
    <row r="9" spans="1:4" x14ac:dyDescent="0.25">
      <c r="A9" s="4" t="s">
        <v>18</v>
      </c>
      <c r="B9" s="4">
        <v>3.6</v>
      </c>
      <c r="C9" s="14">
        <v>3.0680728667305801</v>
      </c>
      <c r="D9" s="4">
        <f t="shared" si="0"/>
        <v>0.1104506232023009</v>
      </c>
    </row>
    <row r="10" spans="1:4" x14ac:dyDescent="0.25">
      <c r="A10" s="4" t="s">
        <v>20</v>
      </c>
      <c r="B10" s="4">
        <v>3.37</v>
      </c>
      <c r="C10" s="14">
        <v>-5.8788947677836503E-2</v>
      </c>
      <c r="D10" s="4">
        <f t="shared" si="0"/>
        <v>-1.9811875367430902E-3</v>
      </c>
    </row>
    <row r="11" spans="1:4" x14ac:dyDescent="0.25">
      <c r="A11" s="4" t="s">
        <v>55</v>
      </c>
      <c r="B11" s="4">
        <v>2.68</v>
      </c>
      <c r="C11" s="14">
        <v>-9.9848714069591509</v>
      </c>
      <c r="D11" s="4">
        <f t="shared" si="0"/>
        <v>-0.26759455370650526</v>
      </c>
    </row>
    <row r="12" spans="1:4" x14ac:dyDescent="0.25">
      <c r="A12" s="4" t="s">
        <v>0</v>
      </c>
      <c r="B12" s="4">
        <v>2.58</v>
      </c>
      <c r="C12" s="14">
        <v>-0.67681895093062605</v>
      </c>
      <c r="D12" s="4">
        <f t="shared" si="0"/>
        <v>-1.7461928934010152E-2</v>
      </c>
    </row>
    <row r="13" spans="1:4" x14ac:dyDescent="0.25">
      <c r="A13" s="4" t="s">
        <v>25</v>
      </c>
      <c r="B13" s="4">
        <v>2.4500000000000002</v>
      </c>
      <c r="C13" s="14">
        <v>-2.0226537216828402</v>
      </c>
      <c r="D13" s="4">
        <f t="shared" si="0"/>
        <v>-4.9555016181229587E-2</v>
      </c>
    </row>
    <row r="14" spans="1:4" x14ac:dyDescent="0.25">
      <c r="A14" s="4" t="s">
        <v>6</v>
      </c>
      <c r="B14" s="4">
        <v>2.0499999999999998</v>
      </c>
      <c r="C14" s="14">
        <v>0</v>
      </c>
      <c r="D14" s="4">
        <f t="shared" si="0"/>
        <v>0</v>
      </c>
    </row>
    <row r="15" spans="1:4" x14ac:dyDescent="0.25">
      <c r="A15" s="4" t="s">
        <v>17</v>
      </c>
      <c r="B15" s="4">
        <v>1.73</v>
      </c>
      <c r="C15" s="14">
        <v>-9.9709583736689194</v>
      </c>
      <c r="D15" s="4">
        <f t="shared" si="0"/>
        <v>-0.17249757986447228</v>
      </c>
    </row>
    <row r="16" spans="1:4" x14ac:dyDescent="0.25">
      <c r="A16" s="4" t="s">
        <v>22</v>
      </c>
      <c r="B16" s="4">
        <v>1.64</v>
      </c>
      <c r="C16" s="14">
        <v>0.53475935828876997</v>
      </c>
      <c r="D16" s="4">
        <f t="shared" si="0"/>
        <v>8.7700534759358271E-3</v>
      </c>
    </row>
    <row r="17" spans="1:4" x14ac:dyDescent="0.25">
      <c r="A17" s="4" t="s">
        <v>23</v>
      </c>
      <c r="B17" s="4">
        <v>1.62</v>
      </c>
      <c r="C17" s="14">
        <v>0.51107325383304902</v>
      </c>
      <c r="D17" s="4">
        <f t="shared" si="0"/>
        <v>8.2793867120953945E-3</v>
      </c>
    </row>
    <row r="18" spans="1:4" x14ac:dyDescent="0.25">
      <c r="A18" s="4" t="s">
        <v>26</v>
      </c>
      <c r="B18" s="4">
        <v>1.48</v>
      </c>
      <c r="C18" s="14">
        <v>-0.38885288399222201</v>
      </c>
      <c r="D18" s="4">
        <f t="shared" si="0"/>
        <v>-5.7550226830848858E-3</v>
      </c>
    </row>
    <row r="19" spans="1:4" x14ac:dyDescent="0.25">
      <c r="A19" s="4" t="s">
        <v>21</v>
      </c>
      <c r="B19" s="4">
        <v>1.4</v>
      </c>
      <c r="C19" s="14">
        <v>0.19029495718363401</v>
      </c>
      <c r="D19" s="4">
        <f t="shared" si="0"/>
        <v>2.6641294005708758E-3</v>
      </c>
    </row>
    <row r="20" spans="1:4" x14ac:dyDescent="0.25">
      <c r="A20" s="4" t="s">
        <v>24</v>
      </c>
      <c r="B20" s="4">
        <v>1.3</v>
      </c>
      <c r="C20" s="14">
        <v>2.7204030226700202</v>
      </c>
      <c r="D20" s="4">
        <f t="shared" si="0"/>
        <v>3.5365239294710263E-2</v>
      </c>
    </row>
    <row r="21" spans="1:4" x14ac:dyDescent="0.25">
      <c r="A21" s="4" t="s">
        <v>28</v>
      </c>
      <c r="B21" s="4">
        <v>1.26</v>
      </c>
      <c r="C21" s="14">
        <v>2.75229357798165</v>
      </c>
      <c r="D21" s="4">
        <f t="shared" si="0"/>
        <v>3.4678899082568791E-2</v>
      </c>
    </row>
    <row r="22" spans="1:4" x14ac:dyDescent="0.25">
      <c r="A22" s="4" t="s">
        <v>29</v>
      </c>
      <c r="B22" s="4">
        <v>1.2</v>
      </c>
      <c r="C22" s="14">
        <v>-0.31496062992125901</v>
      </c>
      <c r="D22" s="4">
        <f t="shared" si="0"/>
        <v>-3.7795275590551082E-3</v>
      </c>
    </row>
    <row r="23" spans="1:4" x14ac:dyDescent="0.25">
      <c r="A23" s="4" t="s">
        <v>3</v>
      </c>
      <c r="B23" s="4">
        <v>0.73</v>
      </c>
      <c r="C23" s="14">
        <v>-2.0408163265306101</v>
      </c>
      <c r="D23" s="4">
        <f t="shared" si="0"/>
        <v>-1.4897959183673452E-2</v>
      </c>
    </row>
    <row r="24" spans="1:4" x14ac:dyDescent="0.25">
      <c r="A24" s="4" t="s">
        <v>33</v>
      </c>
      <c r="B24" s="4">
        <v>0.71</v>
      </c>
      <c r="C24" s="14">
        <v>-1.4332247557003199</v>
      </c>
      <c r="D24" s="4">
        <f t="shared" si="0"/>
        <v>-1.0175895765472271E-2</v>
      </c>
    </row>
    <row r="25" spans="1:4" x14ac:dyDescent="0.25">
      <c r="A25" s="4" t="s">
        <v>7</v>
      </c>
      <c r="B25" s="4">
        <v>0.59</v>
      </c>
      <c r="C25" s="8">
        <v>-0.47058823529411697</v>
      </c>
      <c r="D25" s="4">
        <f t="shared" si="0"/>
        <v>-2.7764705882352904E-3</v>
      </c>
    </row>
    <row r="26" spans="1:4" x14ac:dyDescent="0.25">
      <c r="A26" s="4" t="s">
        <v>27</v>
      </c>
      <c r="B26" s="4">
        <v>0.56000000000000005</v>
      </c>
      <c r="C26" s="8">
        <v>-6.0773480662983399</v>
      </c>
      <c r="D26" s="4">
        <f t="shared" si="0"/>
        <v>-3.4033149171270705E-2</v>
      </c>
    </row>
    <row r="27" spans="1:4" x14ac:dyDescent="0.25">
      <c r="A27" s="4" t="s">
        <v>39</v>
      </c>
      <c r="B27" s="4">
        <v>0.4</v>
      </c>
      <c r="C27" s="8">
        <v>9.9650349650349597</v>
      </c>
      <c r="D27" s="4">
        <f t="shared" si="0"/>
        <v>3.9860139860139837E-2</v>
      </c>
    </row>
    <row r="28" spans="1:4" x14ac:dyDescent="0.25">
      <c r="A28" s="4" t="s">
        <v>31</v>
      </c>
      <c r="B28" s="4">
        <v>0.39</v>
      </c>
      <c r="C28" s="8">
        <v>-9.9562363238512006</v>
      </c>
      <c r="D28" s="4">
        <f t="shared" si="0"/>
        <v>-3.8829321663019688E-2</v>
      </c>
    </row>
    <row r="29" spans="1:4" x14ac:dyDescent="0.25">
      <c r="A29" s="4" t="s">
        <v>30</v>
      </c>
      <c r="B29" s="4">
        <v>0.36</v>
      </c>
      <c r="C29" s="8">
        <v>-0.173711638679791</v>
      </c>
      <c r="D29" s="4">
        <f t="shared" si="0"/>
        <v>-6.2536189924724758E-4</v>
      </c>
    </row>
    <row r="30" spans="1:4" x14ac:dyDescent="0.25">
      <c r="A30" s="4" t="s">
        <v>34</v>
      </c>
      <c r="B30" s="4">
        <v>0.34</v>
      </c>
      <c r="C30" s="8">
        <v>-2.47272727272727</v>
      </c>
      <c r="D30" s="4">
        <f t="shared" si="0"/>
        <v>-8.4072727272727181E-3</v>
      </c>
    </row>
    <row r="31" spans="1:4" x14ac:dyDescent="0.25">
      <c r="A31" s="4" t="s">
        <v>57</v>
      </c>
      <c r="B31" s="4">
        <v>0.34</v>
      </c>
      <c r="C31" s="8">
        <v>-5.7205720572057199</v>
      </c>
      <c r="D31" s="4">
        <f t="shared" si="0"/>
        <v>-1.9449944994499448E-2</v>
      </c>
    </row>
    <row r="32" spans="1:4" x14ac:dyDescent="0.25">
      <c r="A32" s="4" t="s">
        <v>58</v>
      </c>
      <c r="B32" s="4">
        <v>0.33</v>
      </c>
      <c r="C32" s="8">
        <v>-0.81669691470054395</v>
      </c>
      <c r="D32" s="4">
        <f t="shared" si="0"/>
        <v>-2.6950998185117951E-3</v>
      </c>
    </row>
    <row r="33" spans="1:5" x14ac:dyDescent="0.25">
      <c r="A33" s="4" t="s">
        <v>2</v>
      </c>
      <c r="B33" s="11">
        <v>0.26</v>
      </c>
      <c r="C33" s="15">
        <v>-1.6189962223421399</v>
      </c>
      <c r="D33" s="4">
        <f t="shared" si="0"/>
        <v>-4.2093901780895634E-3</v>
      </c>
    </row>
    <row r="34" spans="1:5" x14ac:dyDescent="0.25">
      <c r="A34" s="4" t="s">
        <v>32</v>
      </c>
      <c r="B34" s="4">
        <v>0.18</v>
      </c>
      <c r="C34" s="8">
        <v>-9.9056603773584904</v>
      </c>
      <c r="D34" s="4">
        <f t="shared" si="0"/>
        <v>-1.7830188679245282E-2</v>
      </c>
    </row>
    <row r="35" spans="1:5" x14ac:dyDescent="0.25">
      <c r="A35" s="4" t="s">
        <v>4</v>
      </c>
      <c r="B35" s="4">
        <v>0.12</v>
      </c>
      <c r="C35" s="8">
        <v>1.0309278350515401</v>
      </c>
      <c r="D35" s="4">
        <f t="shared" si="0"/>
        <v>1.237113402061848E-3</v>
      </c>
    </row>
    <row r="36" spans="1:5" x14ac:dyDescent="0.25">
      <c r="A36" s="4" t="s">
        <v>59</v>
      </c>
      <c r="B36" s="4">
        <v>7.0000000000000007E-2</v>
      </c>
      <c r="C36" s="8">
        <v>-2.4647887323943598</v>
      </c>
      <c r="D36" s="4">
        <f t="shared" si="0"/>
        <v>-1.7253521126760522E-3</v>
      </c>
    </row>
    <row r="37" spans="1:5" x14ac:dyDescent="0.25">
      <c r="A37" s="4" t="s">
        <v>60</v>
      </c>
      <c r="B37" s="4">
        <v>0.05</v>
      </c>
      <c r="C37" s="8">
        <v>-4.6535677352637004</v>
      </c>
      <c r="D37" s="4">
        <f t="shared" si="0"/>
        <v>-2.3267838676318503E-3</v>
      </c>
    </row>
    <row r="38" spans="1:5" x14ac:dyDescent="0.25">
      <c r="A38" s="4" t="s">
        <v>61</v>
      </c>
      <c r="B38" s="4">
        <v>0.04</v>
      </c>
      <c r="C38" s="8">
        <v>2.0683453237410001</v>
      </c>
      <c r="D38" s="4">
        <f t="shared" si="0"/>
        <v>8.2733812949640009E-4</v>
      </c>
    </row>
    <row r="39" spans="1:5" x14ac:dyDescent="0.25">
      <c r="A39" s="4" t="s">
        <v>62</v>
      </c>
      <c r="B39" s="4">
        <v>0.04</v>
      </c>
      <c r="C39" s="8">
        <v>0.14336917562724</v>
      </c>
      <c r="D39" s="4">
        <f t="shared" si="0"/>
        <v>5.7347670250895995E-5</v>
      </c>
    </row>
    <row r="40" spans="1:5" x14ac:dyDescent="0.25">
      <c r="A40" s="4" t="s">
        <v>35</v>
      </c>
      <c r="B40" s="4">
        <v>0.3</v>
      </c>
      <c r="C40" s="8">
        <v>-1.00840336134453</v>
      </c>
      <c r="D40" s="4">
        <f t="shared" si="0"/>
        <v>-3.0252100840335899E-3</v>
      </c>
    </row>
    <row r="41" spans="1:5" x14ac:dyDescent="0.25">
      <c r="A41" s="4" t="s">
        <v>41</v>
      </c>
      <c r="B41" s="4">
        <v>8.33</v>
      </c>
      <c r="C41" s="4">
        <v>-2.25</v>
      </c>
      <c r="D41" s="4">
        <f t="shared" si="0"/>
        <v>-0.18742500000000001</v>
      </c>
    </row>
    <row r="42" spans="1:5" x14ac:dyDescent="0.25">
      <c r="A42" s="4" t="s">
        <v>42</v>
      </c>
      <c r="B42" s="4">
        <v>8.27</v>
      </c>
      <c r="C42" s="4">
        <v>-3.42</v>
      </c>
      <c r="D42" s="4">
        <f t="shared" si="0"/>
        <v>-0.28283399999999997</v>
      </c>
    </row>
    <row r="43" spans="1:5" x14ac:dyDescent="0.25">
      <c r="A43" s="4" t="s">
        <v>56</v>
      </c>
      <c r="B43" s="4">
        <v>2.56</v>
      </c>
      <c r="C43" s="4">
        <v>0.13</v>
      </c>
      <c r="D43" s="4">
        <f t="shared" si="0"/>
        <v>3.3280000000000002E-3</v>
      </c>
    </row>
    <row r="44" spans="1:5" x14ac:dyDescent="0.25">
      <c r="A44" s="12" t="s">
        <v>63</v>
      </c>
      <c r="B44" s="5">
        <f>SUM(B2:B43)</f>
        <v>98.450000000000045</v>
      </c>
      <c r="D44" s="6">
        <f>SUM(D2:D43)</f>
        <v>0.17901596787751528</v>
      </c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9"/>
      <c r="B49" s="29"/>
      <c r="C49" s="4"/>
      <c r="D49" s="4"/>
      <c r="E49" s="17"/>
    </row>
    <row r="50" spans="1:6" x14ac:dyDescent="0.25">
      <c r="A50" s="29"/>
      <c r="B50" s="29"/>
      <c r="C50" s="9"/>
      <c r="D50" s="9"/>
    </row>
    <row r="55" spans="1:6" x14ac:dyDescent="0.25">
      <c r="A55" s="5" t="s">
        <v>68</v>
      </c>
      <c r="B55" s="30" t="s">
        <v>52</v>
      </c>
      <c r="C55" s="30"/>
      <c r="D55" s="20" t="s">
        <v>53</v>
      </c>
      <c r="E55" s="5" t="s">
        <v>67</v>
      </c>
      <c r="F55" s="5" t="s">
        <v>69</v>
      </c>
    </row>
    <row r="56" spans="1:6" x14ac:dyDescent="0.25">
      <c r="A56" s="18">
        <v>46226</v>
      </c>
      <c r="B56" s="29">
        <v>160454</v>
      </c>
      <c r="C56" s="29"/>
      <c r="D56" s="21">
        <v>74464707242</v>
      </c>
      <c r="E56" s="21">
        <v>-1765745461</v>
      </c>
      <c r="F56" s="24">
        <v>1.15E-2</v>
      </c>
    </row>
    <row r="57" spans="1:6" x14ac:dyDescent="0.25">
      <c r="A57" s="18">
        <v>46227</v>
      </c>
      <c r="B57" s="29">
        <v>159246</v>
      </c>
      <c r="C57" s="29"/>
      <c r="D57" s="21">
        <v>74038207243</v>
      </c>
      <c r="E57" s="21">
        <v>-535063133</v>
      </c>
      <c r="F57" s="24">
        <v>1.5E-3</v>
      </c>
    </row>
    <row r="58" spans="1:6" x14ac:dyDescent="0.25">
      <c r="A58" s="18">
        <v>46230</v>
      </c>
      <c r="B58" s="29">
        <v>159672</v>
      </c>
      <c r="C58" s="29"/>
      <c r="D58" s="21">
        <v>74765554505</v>
      </c>
      <c r="E58" s="21">
        <v>831945602</v>
      </c>
      <c r="F58" s="24">
        <v>-1.4E-3</v>
      </c>
    </row>
    <row r="59" spans="1:6" x14ac:dyDescent="0.25">
      <c r="A59" s="18">
        <v>46231</v>
      </c>
      <c r="B59" s="29">
        <v>160788</v>
      </c>
      <c r="C59" s="29"/>
      <c r="D59" s="21">
        <v>74770957010</v>
      </c>
      <c r="E59" s="21">
        <v>-37325878</v>
      </c>
      <c r="F59" s="24">
        <v>5.9999999999999995E-4</v>
      </c>
    </row>
    <row r="60" spans="1:6" x14ac:dyDescent="0.25">
      <c r="A60" s="18">
        <v>46232</v>
      </c>
      <c r="B60" s="29">
        <v>162385</v>
      </c>
      <c r="C60" s="29"/>
      <c r="D60" s="21">
        <v>72261693709</v>
      </c>
      <c r="E60" s="21">
        <v>-2205788922</v>
      </c>
      <c r="F60" s="24">
        <v>-4.1000000000000003E-3</v>
      </c>
    </row>
    <row r="61" spans="1:6" x14ac:dyDescent="0.25">
      <c r="A61" s="18">
        <v>46233</v>
      </c>
      <c r="B61" s="29">
        <v>160805</v>
      </c>
      <c r="C61" s="29"/>
      <c r="D61" s="21">
        <v>69072635445</v>
      </c>
      <c r="E61" s="21">
        <v>-1972729322</v>
      </c>
      <c r="F61" s="24">
        <v>-1.6799999999999999E-2</v>
      </c>
    </row>
    <row r="62" spans="1:6" x14ac:dyDescent="0.25">
      <c r="A62" s="18">
        <v>46234</v>
      </c>
      <c r="B62" s="29">
        <v>159675</v>
      </c>
      <c r="C62" s="29"/>
      <c r="D62" s="21">
        <v>63472489182</v>
      </c>
      <c r="E62" s="21">
        <v>-4926393640</v>
      </c>
      <c r="F62" s="24">
        <v>-9.7999999999999997E-3</v>
      </c>
    </row>
    <row r="63" spans="1:6" x14ac:dyDescent="0.25">
      <c r="A63" s="18">
        <v>46237</v>
      </c>
      <c r="B63" s="29">
        <v>154990</v>
      </c>
      <c r="C63" s="29"/>
      <c r="D63" s="21">
        <v>57303637201</v>
      </c>
      <c r="E63" s="21">
        <v>-6263046591</v>
      </c>
      <c r="F63" s="24">
        <v>1.5E-3</v>
      </c>
    </row>
    <row r="64" spans="1:6" x14ac:dyDescent="0.25">
      <c r="A64" s="18">
        <v>46238</v>
      </c>
      <c r="B64" s="29">
        <v>147034</v>
      </c>
      <c r="C64" s="29"/>
      <c r="D64" s="21">
        <v>51950990933</v>
      </c>
      <c r="E64" s="21">
        <v>-5284511372</v>
      </c>
      <c r="F64" s="24">
        <v>-1.1999999999999999E-3</v>
      </c>
    </row>
    <row r="65" spans="1:6" x14ac:dyDescent="0.25">
      <c r="A65" s="18">
        <v>46239</v>
      </c>
      <c r="B65" s="29">
        <v>14301</v>
      </c>
      <c r="C65" s="29"/>
      <c r="D65" s="21">
        <v>50985089717</v>
      </c>
      <c r="E65" s="21">
        <v>-1176645528</v>
      </c>
      <c r="F65" s="24">
        <v>4.1000000000000003E-3</v>
      </c>
    </row>
    <row r="66" spans="1:6" x14ac:dyDescent="0.25">
      <c r="A66" s="18">
        <v>46240</v>
      </c>
      <c r="B66" s="29">
        <v>138786</v>
      </c>
      <c r="C66" s="29"/>
      <c r="D66" s="21">
        <v>46572819665</v>
      </c>
      <c r="E66" s="21">
        <v>-4303178237</v>
      </c>
      <c r="F66" s="24">
        <v>-2.0999999999999999E-3</v>
      </c>
    </row>
    <row r="67" spans="1:6" x14ac:dyDescent="0.25">
      <c r="A67" s="18">
        <v>46241</v>
      </c>
      <c r="B67" s="29">
        <v>134555</v>
      </c>
      <c r="C67" s="29"/>
      <c r="D67" s="21">
        <v>46135293160</v>
      </c>
      <c r="E67" s="21">
        <v>-735791355</v>
      </c>
      <c r="F67" s="24">
        <v>6.4000000000000003E-3</v>
      </c>
    </row>
    <row r="68" spans="1:6" x14ac:dyDescent="0.25">
      <c r="A68" s="18">
        <v>46244</v>
      </c>
      <c r="B68" s="29">
        <v>133320</v>
      </c>
      <c r="C68" s="29"/>
      <c r="D68" s="21">
        <v>42920929089</v>
      </c>
      <c r="E68" s="21">
        <v>-3497980445</v>
      </c>
      <c r="F68" s="24">
        <v>6.1000000000000004E-3</v>
      </c>
    </row>
    <row r="69" spans="1:6" x14ac:dyDescent="0.25">
      <c r="A69" s="18"/>
      <c r="B69" s="29"/>
      <c r="C69" s="29"/>
      <c r="D69" s="19"/>
      <c r="E69" s="22"/>
      <c r="F69" s="24"/>
    </row>
    <row r="70" spans="1:6" x14ac:dyDescent="0.25">
      <c r="A70" s="18"/>
      <c r="B70" s="29"/>
      <c r="C70" s="29"/>
      <c r="D70" s="19"/>
      <c r="E70" s="22"/>
      <c r="F70" s="24"/>
    </row>
    <row r="71" spans="1:6" x14ac:dyDescent="0.25">
      <c r="A71" s="18"/>
      <c r="B71" s="29"/>
      <c r="C71" s="29"/>
      <c r="D71" s="19"/>
      <c r="E71" s="22"/>
      <c r="F71" s="24"/>
    </row>
    <row r="72" spans="1:6" x14ac:dyDescent="0.25">
      <c r="A72" s="18"/>
      <c r="B72" s="29"/>
      <c r="C72" s="29"/>
      <c r="D72" s="19"/>
      <c r="E72" s="22"/>
      <c r="F72" s="24"/>
    </row>
    <row r="73" spans="1:6" x14ac:dyDescent="0.25">
      <c r="A73" s="18"/>
      <c r="B73" s="29"/>
      <c r="C73" s="29"/>
      <c r="D73" s="19"/>
      <c r="E73" s="22"/>
      <c r="F73" s="24"/>
    </row>
    <row r="74" spans="1:6" x14ac:dyDescent="0.25">
      <c r="A74" s="18"/>
      <c r="B74" s="29"/>
      <c r="C74" s="29"/>
      <c r="D74" s="19"/>
      <c r="E74" s="22"/>
      <c r="F74" s="24"/>
    </row>
    <row r="75" spans="1:6" x14ac:dyDescent="0.25">
      <c r="A75" s="18"/>
      <c r="B75" s="29"/>
      <c r="C75" s="29"/>
      <c r="D75" s="19"/>
      <c r="E75" s="22"/>
      <c r="F75" s="24"/>
    </row>
    <row r="76" spans="1:6" x14ac:dyDescent="0.25">
      <c r="A76" s="18"/>
      <c r="B76" s="29"/>
      <c r="C76" s="29"/>
      <c r="D76" s="19"/>
      <c r="E76" s="22"/>
      <c r="F76" s="24"/>
    </row>
    <row r="77" spans="1:6" x14ac:dyDescent="0.25">
      <c r="A77" s="18"/>
      <c r="B77" s="29"/>
      <c r="C77" s="29"/>
      <c r="D77" s="19"/>
      <c r="E77" s="22"/>
      <c r="F77" s="24"/>
    </row>
    <row r="78" spans="1:6" x14ac:dyDescent="0.25">
      <c r="A78" s="18"/>
      <c r="B78" s="29"/>
      <c r="C78" s="29"/>
      <c r="D78" s="19"/>
      <c r="E78" s="22"/>
      <c r="F78" s="24"/>
    </row>
    <row r="79" spans="1:6" x14ac:dyDescent="0.25">
      <c r="A79" s="18"/>
      <c r="B79" s="29"/>
      <c r="C79" s="29"/>
      <c r="D79" s="19"/>
      <c r="E79" s="22"/>
      <c r="F79" s="24"/>
    </row>
    <row r="80" spans="1:6" x14ac:dyDescent="0.25">
      <c r="A80" s="18"/>
      <c r="B80" s="29"/>
      <c r="C80" s="29"/>
      <c r="D80" s="19"/>
      <c r="E80" s="22"/>
      <c r="F80" s="24"/>
    </row>
    <row r="81" spans="1:6" x14ac:dyDescent="0.25">
      <c r="A81" s="18"/>
      <c r="B81" s="29"/>
      <c r="C81" s="29"/>
      <c r="D81" s="19"/>
      <c r="E81" s="22"/>
      <c r="F81" s="24"/>
    </row>
  </sheetData>
  <mergeCells count="29"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  <mergeCell ref="B68:C68"/>
    <mergeCell ref="B69:C69"/>
    <mergeCell ref="B70:C70"/>
    <mergeCell ref="B71:C71"/>
    <mergeCell ref="B72:C72"/>
    <mergeCell ref="B63:C63"/>
    <mergeCell ref="B64:C64"/>
    <mergeCell ref="B65:C65"/>
    <mergeCell ref="B66:C66"/>
    <mergeCell ref="B67:C67"/>
    <mergeCell ref="B59:C59"/>
    <mergeCell ref="B60:C60"/>
    <mergeCell ref="B61:C61"/>
    <mergeCell ref="B62:C62"/>
    <mergeCell ref="B58:C58"/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workbookViewId="0">
      <selection activeCell="C2" sqref="C2:C36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9.65</v>
      </c>
      <c r="C2" s="8">
        <v>6.8119891008174296</v>
      </c>
      <c r="D2" s="4">
        <f>B2*C2/100</f>
        <v>0.65735694822888191</v>
      </c>
    </row>
    <row r="3" spans="1:4" x14ac:dyDescent="0.25">
      <c r="A3" s="4" t="s">
        <v>13</v>
      </c>
      <c r="B3" s="4">
        <v>9.2899999999999991</v>
      </c>
      <c r="C3" s="8">
        <v>2.1110601193207801</v>
      </c>
      <c r="D3" s="4">
        <f t="shared" ref="D3:D36" si="0">B3*C3/100</f>
        <v>0.19611748508490046</v>
      </c>
    </row>
    <row r="4" spans="1:4" x14ac:dyDescent="0.25">
      <c r="A4" s="4" t="s">
        <v>12</v>
      </c>
      <c r="B4" s="4">
        <v>9.24</v>
      </c>
      <c r="C4" s="8">
        <v>9.9123767798466496</v>
      </c>
      <c r="D4" s="4">
        <f t="shared" si="0"/>
        <v>0.91590361445783042</v>
      </c>
    </row>
    <row r="5" spans="1:4" x14ac:dyDescent="0.25">
      <c r="A5" s="4" t="s">
        <v>55</v>
      </c>
      <c r="B5" s="4">
        <v>6.09</v>
      </c>
      <c r="C5" s="8">
        <v>-9.9848714069591509</v>
      </c>
      <c r="D5" s="4">
        <f t="shared" si="0"/>
        <v>-0.60807866868381222</v>
      </c>
    </row>
    <row r="6" spans="1:4" x14ac:dyDescent="0.25">
      <c r="A6" s="4" t="s">
        <v>9</v>
      </c>
      <c r="B6" s="4">
        <v>4.7300000000000004</v>
      </c>
      <c r="C6" s="8">
        <v>-9.9719363891487305</v>
      </c>
      <c r="D6" s="4">
        <f t="shared" si="0"/>
        <v>-0.47167259120673499</v>
      </c>
    </row>
    <row r="7" spans="1:4" x14ac:dyDescent="0.25">
      <c r="A7" s="4" t="s">
        <v>15</v>
      </c>
      <c r="B7" s="4">
        <v>4.5199999999999996</v>
      </c>
      <c r="C7" s="8">
        <v>0.45924225028702598</v>
      </c>
      <c r="D7" s="4">
        <f t="shared" si="0"/>
        <v>2.0757749712973571E-2</v>
      </c>
    </row>
    <row r="8" spans="1:4" x14ac:dyDescent="0.25">
      <c r="A8" s="4" t="s">
        <v>18</v>
      </c>
      <c r="B8" s="4">
        <v>3.4</v>
      </c>
      <c r="C8" s="8">
        <v>3.0680728667305801</v>
      </c>
      <c r="D8" s="4">
        <f t="shared" si="0"/>
        <v>0.10431447746883972</v>
      </c>
    </row>
    <row r="9" spans="1:4" x14ac:dyDescent="0.25">
      <c r="A9" s="4" t="s">
        <v>16</v>
      </c>
      <c r="B9" s="4">
        <v>2.73</v>
      </c>
      <c r="C9" s="8">
        <v>-1.06122448979591</v>
      </c>
      <c r="D9" s="4">
        <f t="shared" si="0"/>
        <v>-2.8971428571428343E-2</v>
      </c>
    </row>
    <row r="10" spans="1:4" x14ac:dyDescent="0.25">
      <c r="A10" s="4" t="s">
        <v>6</v>
      </c>
      <c r="B10" s="4">
        <v>2.2999999999999998</v>
      </c>
      <c r="C10" s="8">
        <v>0</v>
      </c>
      <c r="D10" s="4">
        <f t="shared" si="0"/>
        <v>0</v>
      </c>
    </row>
    <row r="11" spans="1:4" x14ac:dyDescent="0.25">
      <c r="A11" s="4" t="s">
        <v>21</v>
      </c>
      <c r="B11" s="4">
        <v>1.67</v>
      </c>
      <c r="C11" s="8">
        <v>0.19029495718363401</v>
      </c>
      <c r="D11" s="4">
        <f t="shared" si="0"/>
        <v>3.1779257849666883E-3</v>
      </c>
    </row>
    <row r="12" spans="1:4" x14ac:dyDescent="0.25">
      <c r="A12" s="4" t="s">
        <v>17</v>
      </c>
      <c r="B12" s="4">
        <v>1.58</v>
      </c>
      <c r="C12" s="8">
        <v>-9.9709583736689194</v>
      </c>
      <c r="D12" s="4">
        <f t="shared" si="0"/>
        <v>-0.15754114230396893</v>
      </c>
    </row>
    <row r="13" spans="1:4" x14ac:dyDescent="0.25">
      <c r="A13" s="4" t="s">
        <v>0</v>
      </c>
      <c r="B13" s="4">
        <v>1.57</v>
      </c>
      <c r="C13" s="8">
        <v>-0.67681895093062605</v>
      </c>
      <c r="D13" s="4">
        <f t="shared" si="0"/>
        <v>-1.0626057529610829E-2</v>
      </c>
    </row>
    <row r="14" spans="1:4" x14ac:dyDescent="0.25">
      <c r="A14" s="4" t="s">
        <v>19</v>
      </c>
      <c r="B14" s="4">
        <v>1.1299999999999999</v>
      </c>
      <c r="C14" s="8">
        <v>-0.89020771513353103</v>
      </c>
      <c r="D14" s="4">
        <f t="shared" si="0"/>
        <v>-1.00593471810089E-2</v>
      </c>
    </row>
    <row r="15" spans="1:4" x14ac:dyDescent="0.25">
      <c r="A15" s="4" t="s">
        <v>20</v>
      </c>
      <c r="B15" s="4">
        <v>1.03</v>
      </c>
      <c r="C15" s="8">
        <v>-5.8788947677836503E-2</v>
      </c>
      <c r="D15" s="4">
        <f t="shared" si="0"/>
        <v>-6.05526161081716E-4</v>
      </c>
    </row>
    <row r="16" spans="1:4" x14ac:dyDescent="0.25">
      <c r="A16" s="4" t="s">
        <v>22</v>
      </c>
      <c r="B16" s="4">
        <v>0.98</v>
      </c>
      <c r="C16" s="8">
        <v>0.53475935828876997</v>
      </c>
      <c r="D16" s="4">
        <f t="shared" si="0"/>
        <v>5.2406417112299455E-3</v>
      </c>
    </row>
    <row r="17" spans="1:4" x14ac:dyDescent="0.25">
      <c r="A17" s="4" t="s">
        <v>36</v>
      </c>
      <c r="B17" s="4">
        <v>0.87</v>
      </c>
      <c r="C17" s="8">
        <v>-2.4630541871921099</v>
      </c>
      <c r="D17" s="4">
        <f t="shared" si="0"/>
        <v>-2.1428571428571356E-2</v>
      </c>
    </row>
    <row r="18" spans="1:4" x14ac:dyDescent="0.25">
      <c r="A18" s="4" t="s">
        <v>27</v>
      </c>
      <c r="B18" s="4">
        <v>0.59</v>
      </c>
      <c r="C18" s="8">
        <v>-6.0773480662983399</v>
      </c>
      <c r="D18" s="4">
        <f t="shared" si="0"/>
        <v>-3.5856353591160205E-2</v>
      </c>
    </row>
    <row r="19" spans="1:4" x14ac:dyDescent="0.25">
      <c r="A19" s="4" t="s">
        <v>60</v>
      </c>
      <c r="B19" s="4">
        <v>0.5</v>
      </c>
      <c r="C19" s="8">
        <v>-4.6535677352637004</v>
      </c>
      <c r="D19" s="4">
        <f t="shared" si="0"/>
        <v>-2.32678386763185E-2</v>
      </c>
    </row>
    <row r="20" spans="1:4" x14ac:dyDescent="0.25">
      <c r="A20" s="4" t="s">
        <v>39</v>
      </c>
      <c r="B20" s="4">
        <v>0.48</v>
      </c>
      <c r="C20" s="8">
        <v>9.9650349650349597</v>
      </c>
      <c r="D20" s="4">
        <f t="shared" si="0"/>
        <v>4.7832167832167809E-2</v>
      </c>
    </row>
    <row r="21" spans="1:4" x14ac:dyDescent="0.25">
      <c r="A21" s="4" t="s">
        <v>28</v>
      </c>
      <c r="B21" s="4">
        <v>0.42</v>
      </c>
      <c r="C21" s="8">
        <v>2.75229357798165</v>
      </c>
      <c r="D21" s="4">
        <f t="shared" si="0"/>
        <v>1.1559633027522928E-2</v>
      </c>
    </row>
    <row r="22" spans="1:4" x14ac:dyDescent="0.25">
      <c r="A22" s="4" t="s">
        <v>37</v>
      </c>
      <c r="B22" s="4">
        <v>0.4</v>
      </c>
      <c r="C22" s="8">
        <v>0.58582308142940798</v>
      </c>
      <c r="D22" s="4">
        <f t="shared" si="0"/>
        <v>2.343292325717632E-3</v>
      </c>
    </row>
    <row r="23" spans="1:4" x14ac:dyDescent="0.25">
      <c r="A23" s="4" t="s">
        <v>33</v>
      </c>
      <c r="B23" s="4">
        <v>0.38</v>
      </c>
      <c r="C23" s="8">
        <v>-1.4332247557003199</v>
      </c>
      <c r="D23" s="4">
        <f t="shared" si="0"/>
        <v>-5.4462540716612162E-3</v>
      </c>
    </row>
    <row r="24" spans="1:4" x14ac:dyDescent="0.25">
      <c r="A24" s="4" t="s">
        <v>2</v>
      </c>
      <c r="B24" s="4">
        <v>0.25</v>
      </c>
      <c r="C24" s="8">
        <v>-1.6189962223421399</v>
      </c>
      <c r="D24" s="4">
        <f t="shared" si="0"/>
        <v>-4.0474905558553495E-3</v>
      </c>
    </row>
    <row r="25" spans="1:4" x14ac:dyDescent="0.25">
      <c r="A25" s="4" t="s">
        <v>38</v>
      </c>
      <c r="B25" s="4">
        <v>0.25</v>
      </c>
      <c r="C25" s="8">
        <v>0.77720207253885998</v>
      </c>
      <c r="D25" s="4">
        <f t="shared" si="0"/>
        <v>1.94300518134715E-3</v>
      </c>
    </row>
    <row r="26" spans="1:4" x14ac:dyDescent="0.25">
      <c r="A26" s="4" t="s">
        <v>34</v>
      </c>
      <c r="B26" s="4">
        <v>0.24</v>
      </c>
      <c r="C26" s="8">
        <v>-2.47272727272727</v>
      </c>
      <c r="D26" s="4">
        <f t="shared" si="0"/>
        <v>-5.9345454545454476E-3</v>
      </c>
    </row>
    <row r="27" spans="1:4" x14ac:dyDescent="0.25">
      <c r="A27" s="4" t="s">
        <v>3</v>
      </c>
      <c r="B27" s="4">
        <v>0.23</v>
      </c>
      <c r="C27" s="8">
        <v>-2.0408163265306101</v>
      </c>
      <c r="D27" s="4">
        <f t="shared" si="0"/>
        <v>-4.6938775510204037E-3</v>
      </c>
    </row>
    <row r="28" spans="1:4" x14ac:dyDescent="0.25">
      <c r="A28" s="4" t="s">
        <v>40</v>
      </c>
      <c r="B28" s="4">
        <v>0.2</v>
      </c>
      <c r="C28" s="8">
        <v>2.72727272727272</v>
      </c>
      <c r="D28" s="4">
        <f t="shared" si="0"/>
        <v>5.4545454545454394E-3</v>
      </c>
    </row>
    <row r="29" spans="1:4" x14ac:dyDescent="0.25">
      <c r="A29" s="4" t="s">
        <v>61</v>
      </c>
      <c r="B29" s="13">
        <v>0.08</v>
      </c>
      <c r="C29" s="15">
        <v>2.0683453237410001</v>
      </c>
      <c r="D29" s="4">
        <f t="shared" si="0"/>
        <v>1.6546762589928002E-3</v>
      </c>
    </row>
    <row r="30" spans="1:4" x14ac:dyDescent="0.25">
      <c r="A30" s="4" t="s">
        <v>59</v>
      </c>
      <c r="B30" s="4">
        <v>0.01</v>
      </c>
      <c r="C30" s="8">
        <v>-2.4647887323943598</v>
      </c>
      <c r="D30" s="4">
        <f t="shared" si="0"/>
        <v>-2.4647887323943596E-4</v>
      </c>
    </row>
    <row r="31" spans="1:4" x14ac:dyDescent="0.25">
      <c r="A31" s="4" t="s">
        <v>41</v>
      </c>
      <c r="B31" s="4">
        <v>7.99</v>
      </c>
      <c r="C31" s="4">
        <v>-2.25</v>
      </c>
      <c r="D31" s="4">
        <f t="shared" si="0"/>
        <v>-0.17977499999999999</v>
      </c>
    </row>
    <row r="32" spans="1:4" x14ac:dyDescent="0.25">
      <c r="A32" s="4" t="s">
        <v>42</v>
      </c>
      <c r="B32" s="4">
        <v>7.7</v>
      </c>
      <c r="C32" s="4">
        <v>-3.42</v>
      </c>
      <c r="D32" s="4">
        <f t="shared" si="0"/>
        <v>-0.26334000000000002</v>
      </c>
    </row>
    <row r="33" spans="1:5" x14ac:dyDescent="0.25">
      <c r="A33" s="4" t="s">
        <v>56</v>
      </c>
      <c r="B33" s="4">
        <v>2.5</v>
      </c>
      <c r="C33" s="4">
        <v>0.13</v>
      </c>
      <c r="D33" s="4">
        <f t="shared" si="0"/>
        <v>3.2500000000000003E-3</v>
      </c>
    </row>
    <row r="34" spans="1:5" x14ac:dyDescent="0.25">
      <c r="A34" s="4" t="s">
        <v>64</v>
      </c>
      <c r="B34" s="4">
        <v>0.78</v>
      </c>
      <c r="C34" s="4">
        <v>0.13</v>
      </c>
      <c r="D34" s="4">
        <f t="shared" si="0"/>
        <v>1.0140000000000001E-3</v>
      </c>
    </row>
    <row r="35" spans="1:5" x14ac:dyDescent="0.25">
      <c r="A35" s="4" t="s">
        <v>65</v>
      </c>
      <c r="B35" s="4">
        <v>0.57999999999999996</v>
      </c>
      <c r="C35" s="4">
        <v>-9.92</v>
      </c>
      <c r="D35" s="4">
        <f t="shared" si="0"/>
        <v>-5.7535999999999997E-2</v>
      </c>
    </row>
    <row r="36" spans="1:5" x14ac:dyDescent="0.25">
      <c r="A36" s="4" t="s">
        <v>66</v>
      </c>
      <c r="B36" s="4">
        <v>0.06</v>
      </c>
      <c r="C36" s="4">
        <v>1.36</v>
      </c>
      <c r="D36" s="4">
        <f t="shared" si="0"/>
        <v>8.160000000000001E-4</v>
      </c>
    </row>
    <row r="37" spans="1:5" x14ac:dyDescent="0.25">
      <c r="A37" s="12" t="s">
        <v>63</v>
      </c>
      <c r="B37" s="5">
        <f>SUM(B2:B36)</f>
        <v>84.419999999999987</v>
      </c>
      <c r="D37" s="6">
        <f>SUM(D2:D36)</f>
        <v>8.9608990689898624E-2</v>
      </c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9"/>
      <c r="B44" s="29"/>
      <c r="C44" s="4"/>
      <c r="D44" s="4"/>
      <c r="E44" s="17"/>
    </row>
    <row r="45" spans="1:5" x14ac:dyDescent="0.25">
      <c r="A45" s="29"/>
      <c r="B45" s="29"/>
      <c r="C45" s="9"/>
      <c r="D45" s="9"/>
    </row>
    <row r="53" spans="1:6" x14ac:dyDescent="0.25">
      <c r="A53" s="5" t="s">
        <v>68</v>
      </c>
      <c r="B53" s="30" t="s">
        <v>52</v>
      </c>
      <c r="C53" s="30"/>
      <c r="D53" s="20" t="s">
        <v>53</v>
      </c>
      <c r="E53" s="5" t="s">
        <v>67</v>
      </c>
      <c r="F53" s="5" t="s">
        <v>69</v>
      </c>
    </row>
    <row r="54" spans="1:6" x14ac:dyDescent="0.25">
      <c r="A54" s="18">
        <v>46226</v>
      </c>
      <c r="B54" s="29">
        <v>78223</v>
      </c>
      <c r="C54" s="29"/>
      <c r="D54" s="21">
        <v>38343912280</v>
      </c>
      <c r="E54" s="22">
        <v>-656504519</v>
      </c>
      <c r="F54" s="24">
        <v>8.0999999999999996E-3</v>
      </c>
    </row>
    <row r="55" spans="1:6" x14ac:dyDescent="0.25">
      <c r="A55" s="18">
        <v>46227</v>
      </c>
      <c r="B55" s="29">
        <v>78055</v>
      </c>
      <c r="C55" s="29"/>
      <c r="D55" s="21">
        <v>38547597437</v>
      </c>
      <c r="E55" s="22">
        <v>45631782</v>
      </c>
      <c r="F55" s="24">
        <v>4.1000000000000003E-3</v>
      </c>
    </row>
    <row r="56" spans="1:6" x14ac:dyDescent="0.25">
      <c r="A56" s="18">
        <v>46230</v>
      </c>
      <c r="B56" s="29">
        <v>78840</v>
      </c>
      <c r="C56" s="29"/>
      <c r="D56" s="21">
        <v>39148877217</v>
      </c>
      <c r="E56" s="22">
        <v>706423581</v>
      </c>
      <c r="F56" s="24">
        <v>-2.7000000000000001E-3</v>
      </c>
    </row>
    <row r="57" spans="1:6" x14ac:dyDescent="0.25">
      <c r="A57" s="18">
        <v>46231</v>
      </c>
      <c r="B57" s="29">
        <v>79795</v>
      </c>
      <c r="C57" s="29"/>
      <c r="D57" s="21">
        <v>39293398935</v>
      </c>
      <c r="E57" s="22">
        <v>119712414</v>
      </c>
      <c r="F57" s="24">
        <v>5.9999999999999995E-4</v>
      </c>
    </row>
    <row r="58" spans="1:6" x14ac:dyDescent="0.25">
      <c r="A58" s="23">
        <v>46232</v>
      </c>
      <c r="B58" s="29">
        <v>80830</v>
      </c>
      <c r="C58" s="29"/>
      <c r="D58" s="21">
        <v>38188651284</v>
      </c>
      <c r="E58" s="21">
        <v>-933851594</v>
      </c>
      <c r="F58" s="24">
        <v>-4.3E-3</v>
      </c>
    </row>
    <row r="59" spans="1:6" x14ac:dyDescent="0.25">
      <c r="A59" s="18">
        <v>46233</v>
      </c>
      <c r="B59" s="29">
        <v>80272</v>
      </c>
      <c r="C59" s="29"/>
      <c r="D59" s="21">
        <v>36982629736</v>
      </c>
      <c r="E59" s="21">
        <v>-1972729322</v>
      </c>
      <c r="F59" s="24">
        <v>-1.4E-2</v>
      </c>
    </row>
    <row r="60" spans="1:6" x14ac:dyDescent="0.25">
      <c r="A60" s="18">
        <v>46234</v>
      </c>
      <c r="B60" s="29">
        <v>79803</v>
      </c>
      <c r="C60" s="29"/>
      <c r="D60" s="21">
        <v>33560330080</v>
      </c>
      <c r="E60" s="21">
        <v>-3201067093</v>
      </c>
      <c r="F60" s="24">
        <v>-6.0000000000000001E-3</v>
      </c>
    </row>
    <row r="61" spans="1:6" x14ac:dyDescent="0.25">
      <c r="A61" s="18">
        <v>46237</v>
      </c>
      <c r="B61" s="29">
        <v>77044</v>
      </c>
      <c r="C61" s="29"/>
      <c r="D61" s="21">
        <v>29529617301</v>
      </c>
      <c r="E61" s="21">
        <v>-4237217388</v>
      </c>
      <c r="F61" s="24">
        <v>6.1999999999999998E-3</v>
      </c>
    </row>
    <row r="62" spans="1:6" x14ac:dyDescent="0.25">
      <c r="A62" s="18">
        <v>46238</v>
      </c>
      <c r="B62" s="29">
        <v>72101</v>
      </c>
      <c r="C62" s="29"/>
      <c r="D62" s="21">
        <v>26219512523</v>
      </c>
      <c r="E62" s="21">
        <v>-3580010999</v>
      </c>
      <c r="F62" s="24">
        <v>9.1000000000000004E-3</v>
      </c>
    </row>
    <row r="63" spans="1:6" x14ac:dyDescent="0.25">
      <c r="A63" s="18">
        <v>46239</v>
      </c>
      <c r="B63" s="29">
        <v>69071</v>
      </c>
      <c r="C63" s="29"/>
      <c r="D63" s="21">
        <v>26446162886</v>
      </c>
      <c r="E63" s="21">
        <v>-148518068</v>
      </c>
      <c r="F63" s="24">
        <v>1.43E-2</v>
      </c>
    </row>
    <row r="64" spans="1:6" x14ac:dyDescent="0.25">
      <c r="A64" s="18">
        <v>46240</v>
      </c>
      <c r="B64" s="29">
        <v>68911</v>
      </c>
      <c r="C64" s="29"/>
      <c r="D64" s="21">
        <v>26257978960</v>
      </c>
      <c r="E64" s="21">
        <v>-4303178237</v>
      </c>
      <c r="F64" s="24">
        <v>-1.7899999999999999E-2</v>
      </c>
    </row>
    <row r="65" spans="1:6" x14ac:dyDescent="0.25">
      <c r="A65" s="18">
        <v>46241</v>
      </c>
      <c r="B65" s="29">
        <v>70356</v>
      </c>
      <c r="C65" s="29"/>
      <c r="D65" s="21">
        <v>27495305201</v>
      </c>
      <c r="E65" s="21">
        <v>1190923365</v>
      </c>
      <c r="F65" s="24">
        <v>1.8E-3</v>
      </c>
    </row>
    <row r="66" spans="1:6" x14ac:dyDescent="0.25">
      <c r="A66" s="18">
        <v>46244</v>
      </c>
      <c r="B66" s="29">
        <v>70743</v>
      </c>
      <c r="C66" s="29"/>
      <c r="D66" s="21">
        <v>25035325105</v>
      </c>
      <c r="E66" s="21">
        <v>-2430448566</v>
      </c>
      <c r="F66" s="24">
        <v>-1.1000000000000001E-3</v>
      </c>
    </row>
    <row r="67" spans="1:6" x14ac:dyDescent="0.25">
      <c r="A67" s="18"/>
      <c r="B67" s="29"/>
      <c r="C67" s="29"/>
      <c r="D67" s="21"/>
      <c r="E67" s="22"/>
      <c r="F67" s="24"/>
    </row>
    <row r="68" spans="1:6" x14ac:dyDescent="0.25">
      <c r="A68" s="18"/>
      <c r="B68" s="29"/>
      <c r="C68" s="29"/>
      <c r="D68" s="21"/>
      <c r="E68" s="22"/>
      <c r="F68" s="24"/>
    </row>
    <row r="69" spans="1:6" x14ac:dyDescent="0.25">
      <c r="A69" s="18"/>
      <c r="B69" s="29"/>
      <c r="C69" s="29"/>
      <c r="D69" s="21"/>
      <c r="E69" s="22"/>
      <c r="F69" s="24"/>
    </row>
    <row r="70" spans="1:6" x14ac:dyDescent="0.25">
      <c r="A70" s="18"/>
      <c r="B70" s="29"/>
      <c r="C70" s="29"/>
      <c r="D70" s="21"/>
      <c r="E70" s="22"/>
      <c r="F70" s="24"/>
    </row>
    <row r="71" spans="1:6" x14ac:dyDescent="0.25">
      <c r="A71" s="18"/>
      <c r="B71" s="29"/>
      <c r="C71" s="29"/>
      <c r="D71" s="21"/>
      <c r="E71" s="22"/>
      <c r="F71" s="24"/>
    </row>
    <row r="72" spans="1:6" x14ac:dyDescent="0.25">
      <c r="A72" s="18"/>
      <c r="B72" s="29"/>
      <c r="C72" s="29"/>
      <c r="D72" s="21"/>
      <c r="E72" s="22"/>
      <c r="F72" s="24"/>
    </row>
    <row r="73" spans="1:6" x14ac:dyDescent="0.25">
      <c r="A73" s="18"/>
      <c r="B73" s="29"/>
      <c r="C73" s="29"/>
      <c r="D73" s="21"/>
      <c r="E73" s="22"/>
      <c r="F73" s="24"/>
    </row>
    <row r="74" spans="1:6" x14ac:dyDescent="0.25">
      <c r="A74" s="18"/>
      <c r="B74" s="29"/>
      <c r="C74" s="29"/>
      <c r="D74" s="21"/>
      <c r="E74" s="22"/>
      <c r="F74" s="24"/>
    </row>
    <row r="75" spans="1:6" x14ac:dyDescent="0.25">
      <c r="A75" s="18"/>
      <c r="B75" s="29"/>
      <c r="C75" s="29"/>
      <c r="D75" s="21"/>
      <c r="E75" s="22"/>
      <c r="F75" s="24"/>
    </row>
    <row r="76" spans="1:6" x14ac:dyDescent="0.25">
      <c r="A76" s="18"/>
      <c r="B76" s="29"/>
      <c r="C76" s="29"/>
      <c r="D76" s="21"/>
      <c r="E76" s="22"/>
      <c r="F76" s="24"/>
    </row>
    <row r="77" spans="1:6" x14ac:dyDescent="0.25">
      <c r="A77" s="18"/>
      <c r="B77" s="29"/>
      <c r="C77" s="29"/>
      <c r="D77" s="21"/>
      <c r="E77" s="22"/>
      <c r="F77" s="24"/>
    </row>
    <row r="78" spans="1:6" x14ac:dyDescent="0.25">
      <c r="A78" s="18"/>
      <c r="B78" s="29"/>
      <c r="C78" s="29"/>
      <c r="D78" s="21"/>
      <c r="E78" s="22"/>
      <c r="F78" s="24"/>
    </row>
    <row r="79" spans="1:6" x14ac:dyDescent="0.25">
      <c r="A79" s="18"/>
      <c r="B79" s="29"/>
      <c r="C79" s="29"/>
      <c r="D79" s="21"/>
      <c r="E79" s="22"/>
      <c r="F79" s="24"/>
    </row>
    <row r="80" spans="1:6" x14ac:dyDescent="0.25">
      <c r="A80" s="18"/>
      <c r="B80" s="29"/>
      <c r="C80" s="29"/>
      <c r="D80" s="21"/>
      <c r="E80" s="22"/>
      <c r="F80" s="24"/>
    </row>
    <row r="81" spans="1:6" x14ac:dyDescent="0.25">
      <c r="A81" s="18"/>
      <c r="B81" s="29"/>
      <c r="C81" s="29"/>
      <c r="D81" s="21"/>
      <c r="E81" s="22"/>
      <c r="F81" s="24"/>
    </row>
    <row r="82" spans="1:6" x14ac:dyDescent="0.25">
      <c r="A82" s="18"/>
      <c r="B82" s="29"/>
      <c r="C82" s="29"/>
      <c r="D82" s="21"/>
      <c r="E82" s="22"/>
      <c r="F82" s="24"/>
    </row>
    <row r="83" spans="1:6" x14ac:dyDescent="0.25">
      <c r="A83" s="18"/>
      <c r="B83" s="29"/>
      <c r="C83" s="29"/>
      <c r="D83" s="21"/>
      <c r="E83" s="22"/>
      <c r="F83" s="24"/>
    </row>
    <row r="84" spans="1:6" x14ac:dyDescent="0.25">
      <c r="A84" s="18"/>
      <c r="B84" s="29"/>
      <c r="C84" s="29"/>
      <c r="D84" s="21"/>
      <c r="E84" s="22"/>
      <c r="F84" s="24"/>
    </row>
    <row r="85" spans="1:6" x14ac:dyDescent="0.25">
      <c r="A85" s="18"/>
      <c r="B85" s="29"/>
      <c r="C85" s="29"/>
      <c r="D85" s="21"/>
      <c r="E85" s="22"/>
      <c r="F85" s="24"/>
    </row>
    <row r="86" spans="1:6" x14ac:dyDescent="0.25">
      <c r="A86" s="18"/>
      <c r="B86" s="29"/>
      <c r="C86" s="29"/>
      <c r="D86" s="21"/>
      <c r="E86" s="22"/>
      <c r="F86" s="24"/>
    </row>
    <row r="87" spans="1:6" x14ac:dyDescent="0.25">
      <c r="A87" s="18"/>
      <c r="B87" s="29"/>
      <c r="C87" s="29"/>
      <c r="D87" s="21"/>
      <c r="E87" s="22"/>
      <c r="F87" s="24"/>
    </row>
    <row r="88" spans="1:6" x14ac:dyDescent="0.25">
      <c r="A88" s="18"/>
      <c r="B88" s="29"/>
      <c r="C88" s="29"/>
      <c r="D88" s="21"/>
      <c r="E88" s="22"/>
      <c r="F88" s="24"/>
    </row>
    <row r="89" spans="1:6" x14ac:dyDescent="0.25">
      <c r="A89" s="18"/>
      <c r="B89" s="29"/>
      <c r="C89" s="29"/>
      <c r="D89" s="21"/>
      <c r="E89" s="22"/>
      <c r="F89" s="24"/>
    </row>
    <row r="90" spans="1:6" x14ac:dyDescent="0.25">
      <c r="A90" s="18"/>
      <c r="B90" s="29"/>
      <c r="C90" s="29"/>
      <c r="D90" s="21"/>
      <c r="E90" s="22"/>
      <c r="F90" s="24"/>
    </row>
    <row r="91" spans="1:6" x14ac:dyDescent="0.25">
      <c r="A91" s="18"/>
      <c r="B91" s="29"/>
      <c r="C91" s="29"/>
      <c r="D91" s="21"/>
      <c r="E91" s="22"/>
      <c r="F91" s="24"/>
    </row>
    <row r="92" spans="1:6" x14ac:dyDescent="0.25">
      <c r="A92" s="18"/>
      <c r="B92" s="29"/>
      <c r="C92" s="29"/>
      <c r="D92" s="21"/>
      <c r="E92" s="22"/>
      <c r="F92" s="24"/>
    </row>
    <row r="93" spans="1:6" x14ac:dyDescent="0.25">
      <c r="A93" s="18"/>
      <c r="B93" s="29"/>
      <c r="C93" s="29"/>
      <c r="D93" s="21"/>
      <c r="E93" s="22"/>
      <c r="F93" s="24"/>
    </row>
    <row r="94" spans="1:6" x14ac:dyDescent="0.25">
      <c r="A94" s="18"/>
      <c r="B94" s="29"/>
      <c r="C94" s="29"/>
      <c r="D94" s="21"/>
      <c r="E94" s="22"/>
      <c r="F94" s="24"/>
    </row>
    <row r="95" spans="1:6" x14ac:dyDescent="0.25">
      <c r="A95" s="18"/>
      <c r="B95" s="29"/>
      <c r="C95" s="29"/>
      <c r="D95" s="21"/>
      <c r="E95" s="22"/>
      <c r="F95" s="24"/>
    </row>
    <row r="96" spans="1:6" x14ac:dyDescent="0.25">
      <c r="A96" s="18"/>
      <c r="B96" s="29"/>
      <c r="C96" s="29"/>
      <c r="D96" s="21"/>
      <c r="E96" s="22"/>
      <c r="F96" s="24"/>
    </row>
    <row r="97" spans="1:6" x14ac:dyDescent="0.25">
      <c r="A97" s="18"/>
      <c r="B97" s="29"/>
      <c r="C97" s="29"/>
      <c r="D97" s="21"/>
      <c r="E97" s="22"/>
      <c r="F97" s="24"/>
    </row>
    <row r="98" spans="1:6" x14ac:dyDescent="0.25">
      <c r="A98" s="18"/>
      <c r="B98" s="29"/>
      <c r="C98" s="29"/>
      <c r="D98" s="21"/>
      <c r="E98" s="22"/>
      <c r="F98" s="24"/>
    </row>
    <row r="99" spans="1:6" x14ac:dyDescent="0.25">
      <c r="A99" s="18"/>
      <c r="B99" s="29"/>
      <c r="C99" s="29"/>
      <c r="D99" s="21"/>
      <c r="E99" s="22"/>
      <c r="F99" s="24"/>
    </row>
    <row r="100" spans="1:6" x14ac:dyDescent="0.25">
      <c r="A100" s="18"/>
      <c r="B100" s="29"/>
      <c r="C100" s="29"/>
      <c r="D100" s="21"/>
      <c r="E100" s="22"/>
      <c r="F100" s="24"/>
    </row>
    <row r="101" spans="1:6" x14ac:dyDescent="0.25">
      <c r="A101" s="18"/>
      <c r="B101" s="29"/>
      <c r="C101" s="29"/>
      <c r="D101" s="21"/>
      <c r="E101" s="22"/>
      <c r="F101" s="24"/>
    </row>
    <row r="102" spans="1:6" x14ac:dyDescent="0.25">
      <c r="A102" s="18"/>
      <c r="B102" s="29"/>
      <c r="C102" s="29"/>
      <c r="D102" s="21"/>
      <c r="E102" s="22"/>
      <c r="F102" s="24"/>
    </row>
    <row r="103" spans="1:6" x14ac:dyDescent="0.25">
      <c r="A103" s="18"/>
      <c r="B103" s="29"/>
      <c r="C103" s="29"/>
      <c r="D103" s="21"/>
      <c r="E103" s="22"/>
      <c r="F103" s="24"/>
    </row>
    <row r="104" spans="1:6" x14ac:dyDescent="0.25">
      <c r="A104" s="18"/>
      <c r="B104" s="29"/>
      <c r="C104" s="29"/>
      <c r="D104" s="21"/>
      <c r="E104" s="22"/>
      <c r="F104" s="24"/>
    </row>
    <row r="105" spans="1:6" x14ac:dyDescent="0.25">
      <c r="A105" s="18"/>
      <c r="B105" s="29"/>
      <c r="C105" s="29"/>
      <c r="D105" s="21"/>
      <c r="E105" s="22"/>
      <c r="F105" s="24"/>
    </row>
    <row r="106" spans="1:6" x14ac:dyDescent="0.25">
      <c r="A106" s="18"/>
      <c r="B106" s="29"/>
      <c r="C106" s="29"/>
      <c r="D106" s="21"/>
      <c r="E106" s="22"/>
      <c r="F106" s="24"/>
    </row>
    <row r="107" spans="1:6" x14ac:dyDescent="0.25">
      <c r="A107" s="18"/>
      <c r="B107" s="29"/>
      <c r="C107" s="29"/>
      <c r="D107" s="21"/>
      <c r="E107" s="22"/>
      <c r="F107" s="24"/>
    </row>
    <row r="108" spans="1:6" x14ac:dyDescent="0.25">
      <c r="A108" s="18"/>
      <c r="B108" s="29"/>
      <c r="C108" s="29"/>
      <c r="D108" s="21"/>
      <c r="E108" s="22"/>
      <c r="F108" s="24"/>
    </row>
    <row r="109" spans="1:6" x14ac:dyDescent="0.25">
      <c r="A109" s="18"/>
      <c r="B109" s="29"/>
      <c r="C109" s="29"/>
      <c r="D109" s="21"/>
      <c r="E109" s="22"/>
      <c r="F109" s="24"/>
    </row>
    <row r="110" spans="1:6" x14ac:dyDescent="0.25">
      <c r="A110" s="18"/>
      <c r="B110" s="29"/>
      <c r="C110" s="29"/>
      <c r="D110" s="21"/>
      <c r="E110" s="22"/>
      <c r="F110" s="24"/>
    </row>
    <row r="111" spans="1:6" x14ac:dyDescent="0.25">
      <c r="A111" s="18"/>
      <c r="B111" s="29"/>
      <c r="C111" s="29"/>
      <c r="D111" s="21"/>
      <c r="E111" s="22"/>
      <c r="F111" s="24"/>
    </row>
    <row r="112" spans="1:6" x14ac:dyDescent="0.25">
      <c r="A112" s="18"/>
      <c r="B112" s="29"/>
      <c r="C112" s="29"/>
      <c r="D112" s="21"/>
      <c r="E112" s="22"/>
      <c r="F112" s="24"/>
    </row>
    <row r="113" spans="1:6" x14ac:dyDescent="0.25">
      <c r="A113" s="18"/>
      <c r="B113" s="29"/>
      <c r="C113" s="29"/>
      <c r="D113" s="21"/>
      <c r="E113" s="22"/>
      <c r="F113" s="24"/>
    </row>
    <row r="114" spans="1:6" x14ac:dyDescent="0.25">
      <c r="A114" s="18"/>
      <c r="B114" s="29"/>
      <c r="C114" s="29"/>
      <c r="D114" s="21"/>
      <c r="E114" s="22"/>
      <c r="F114" s="24"/>
    </row>
    <row r="115" spans="1:6" x14ac:dyDescent="0.25">
      <c r="A115" s="18"/>
      <c r="B115" s="29"/>
      <c r="C115" s="29"/>
      <c r="D115" s="21"/>
      <c r="E115" s="22"/>
      <c r="F115" s="24"/>
    </row>
    <row r="116" spans="1:6" x14ac:dyDescent="0.25">
      <c r="A116" s="18"/>
      <c r="B116" s="29"/>
      <c r="C116" s="29"/>
      <c r="D116" s="21"/>
      <c r="E116" s="22"/>
      <c r="F116" s="24"/>
    </row>
    <row r="117" spans="1:6" x14ac:dyDescent="0.25">
      <c r="A117" s="18"/>
      <c r="B117" s="29"/>
      <c r="C117" s="29"/>
      <c r="D117" s="21"/>
      <c r="E117" s="22"/>
      <c r="F117" s="24"/>
    </row>
    <row r="118" spans="1:6" x14ac:dyDescent="0.25">
      <c r="A118" s="18"/>
      <c r="B118" s="29"/>
      <c r="C118" s="29"/>
      <c r="D118" s="21"/>
      <c r="E118" s="22"/>
      <c r="F118" s="24"/>
    </row>
    <row r="119" spans="1:6" x14ac:dyDescent="0.25">
      <c r="A119" s="18"/>
      <c r="B119" s="29"/>
      <c r="C119" s="29"/>
      <c r="D119" s="21"/>
      <c r="E119" s="22"/>
      <c r="F119" s="24"/>
    </row>
    <row r="120" spans="1:6" x14ac:dyDescent="0.25">
      <c r="A120" s="18"/>
      <c r="B120" s="29"/>
      <c r="C120" s="29"/>
      <c r="D120" s="21"/>
      <c r="E120" s="22"/>
      <c r="F120" s="24"/>
    </row>
    <row r="121" spans="1:6" x14ac:dyDescent="0.25">
      <c r="A121" s="18"/>
      <c r="B121" s="29"/>
      <c r="C121" s="29"/>
      <c r="D121" s="21"/>
      <c r="E121" s="22"/>
      <c r="F121" s="24"/>
    </row>
    <row r="122" spans="1:6" x14ac:dyDescent="0.25">
      <c r="A122" s="18"/>
      <c r="B122" s="29"/>
      <c r="C122" s="29"/>
      <c r="D122" s="21"/>
      <c r="E122" s="22"/>
      <c r="F122" s="24"/>
    </row>
    <row r="123" spans="1:6" x14ac:dyDescent="0.25">
      <c r="A123" s="18"/>
      <c r="B123" s="29"/>
      <c r="C123" s="29"/>
      <c r="D123" s="21"/>
      <c r="E123" s="22"/>
      <c r="F123" s="24"/>
    </row>
    <row r="124" spans="1:6" x14ac:dyDescent="0.25">
      <c r="A124" s="18"/>
      <c r="B124" s="29"/>
      <c r="C124" s="29"/>
      <c r="D124" s="21"/>
      <c r="E124" s="22"/>
      <c r="F124" s="24"/>
    </row>
    <row r="125" spans="1:6" x14ac:dyDescent="0.25">
      <c r="A125" s="18"/>
      <c r="B125" s="29"/>
      <c r="C125" s="29"/>
      <c r="D125" s="21"/>
      <c r="E125" s="22"/>
      <c r="F125" s="24"/>
    </row>
    <row r="126" spans="1:6" x14ac:dyDescent="0.25">
      <c r="A126" s="18"/>
      <c r="B126" s="29"/>
      <c r="C126" s="29"/>
      <c r="D126" s="21"/>
      <c r="E126" s="22"/>
      <c r="F126" s="24"/>
    </row>
    <row r="127" spans="1:6" x14ac:dyDescent="0.25">
      <c r="A127" s="18"/>
      <c r="B127" s="29"/>
      <c r="C127" s="29"/>
      <c r="D127" s="21"/>
      <c r="E127" s="22"/>
      <c r="F127" s="24"/>
    </row>
    <row r="128" spans="1:6" x14ac:dyDescent="0.25">
      <c r="A128" s="18"/>
      <c r="B128" s="29"/>
      <c r="C128" s="29"/>
      <c r="D128" s="21"/>
      <c r="E128" s="22"/>
      <c r="F128" s="24"/>
    </row>
    <row r="129" spans="1:6" x14ac:dyDescent="0.25">
      <c r="A129" s="18"/>
      <c r="B129" s="29"/>
      <c r="C129" s="29"/>
      <c r="D129" s="21"/>
      <c r="E129" s="22"/>
      <c r="F129" s="24"/>
    </row>
    <row r="130" spans="1:6" x14ac:dyDescent="0.25">
      <c r="A130" s="18"/>
      <c r="B130" s="29"/>
      <c r="C130" s="29"/>
      <c r="D130" s="21"/>
      <c r="E130" s="22"/>
      <c r="F130" s="24"/>
    </row>
    <row r="131" spans="1:6" x14ac:dyDescent="0.25">
      <c r="A131" s="18"/>
      <c r="B131" s="29"/>
      <c r="C131" s="29"/>
      <c r="D131" s="21"/>
      <c r="E131" s="22"/>
      <c r="F131" s="24"/>
    </row>
    <row r="132" spans="1:6" x14ac:dyDescent="0.25">
      <c r="A132" s="18"/>
      <c r="B132" s="29"/>
      <c r="C132" s="29"/>
      <c r="D132" s="21"/>
      <c r="E132" s="22"/>
      <c r="F132" s="24"/>
    </row>
    <row r="133" spans="1:6" x14ac:dyDescent="0.25">
      <c r="A133" s="18"/>
      <c r="B133" s="29"/>
      <c r="C133" s="29"/>
      <c r="D133" s="21"/>
      <c r="E133" s="22"/>
      <c r="F133" s="24"/>
    </row>
    <row r="134" spans="1:6" x14ac:dyDescent="0.25">
      <c r="A134" s="18"/>
      <c r="B134" s="29"/>
      <c r="C134" s="29"/>
      <c r="D134" s="21"/>
      <c r="E134" s="22"/>
      <c r="F134" s="24"/>
    </row>
    <row r="135" spans="1:6" x14ac:dyDescent="0.25">
      <c r="A135" s="18"/>
      <c r="B135" s="29"/>
      <c r="C135" s="29"/>
      <c r="D135" s="21"/>
      <c r="E135" s="22"/>
      <c r="F135" s="24"/>
    </row>
    <row r="136" spans="1:6" x14ac:dyDescent="0.25">
      <c r="A136" s="18"/>
      <c r="B136" s="29"/>
      <c r="C136" s="29"/>
      <c r="D136" s="21"/>
      <c r="E136" s="22"/>
      <c r="F136" s="24"/>
    </row>
    <row r="137" spans="1:6" x14ac:dyDescent="0.25">
      <c r="A137" s="18"/>
      <c r="B137" s="29"/>
      <c r="C137" s="29"/>
      <c r="D137" s="21"/>
      <c r="E137" s="22"/>
      <c r="F137" s="24"/>
    </row>
    <row r="138" spans="1:6" x14ac:dyDescent="0.25">
      <c r="A138" s="18"/>
      <c r="B138" s="29"/>
      <c r="C138" s="29"/>
      <c r="D138" s="21"/>
      <c r="E138" s="22"/>
      <c r="F138" s="24"/>
    </row>
    <row r="139" spans="1:6" x14ac:dyDescent="0.25">
      <c r="A139" s="18"/>
      <c r="B139" s="29"/>
      <c r="C139" s="29"/>
      <c r="D139" s="21"/>
      <c r="E139" s="22"/>
      <c r="F139" s="24"/>
    </row>
    <row r="140" spans="1:6" x14ac:dyDescent="0.25">
      <c r="A140" s="18"/>
      <c r="B140" s="29"/>
      <c r="C140" s="29"/>
      <c r="D140" s="21"/>
      <c r="E140" s="22"/>
      <c r="F140" s="24"/>
    </row>
    <row r="141" spans="1:6" x14ac:dyDescent="0.25">
      <c r="A141" s="18"/>
      <c r="B141" s="29"/>
      <c r="C141" s="29"/>
      <c r="D141" s="21"/>
      <c r="E141" s="22"/>
      <c r="F141" s="24"/>
    </row>
    <row r="142" spans="1:6" x14ac:dyDescent="0.25">
      <c r="A142" s="18"/>
      <c r="B142" s="29"/>
      <c r="C142" s="29"/>
      <c r="D142" s="21"/>
      <c r="E142" s="22"/>
      <c r="F142" s="24"/>
    </row>
    <row r="143" spans="1:6" x14ac:dyDescent="0.25">
      <c r="A143" s="18"/>
      <c r="B143" s="29"/>
      <c r="C143" s="29"/>
      <c r="D143" s="21"/>
      <c r="E143" s="22"/>
      <c r="F143" s="24"/>
    </row>
    <row r="144" spans="1:6" x14ac:dyDescent="0.25">
      <c r="A144" s="18"/>
      <c r="B144" s="29"/>
      <c r="C144" s="29"/>
      <c r="D144" s="21"/>
      <c r="E144" s="22"/>
      <c r="F144" s="24"/>
    </row>
    <row r="145" spans="1:6" x14ac:dyDescent="0.25">
      <c r="A145" s="18"/>
      <c r="B145" s="29"/>
      <c r="C145" s="29"/>
      <c r="D145" s="21"/>
      <c r="E145" s="22"/>
      <c r="F145" s="24"/>
    </row>
    <row r="146" spans="1:6" x14ac:dyDescent="0.25">
      <c r="A146" s="18"/>
      <c r="B146" s="29"/>
      <c r="C146" s="29"/>
      <c r="D146" s="21"/>
      <c r="E146" s="22"/>
      <c r="F146" s="24"/>
    </row>
    <row r="147" spans="1:6" x14ac:dyDescent="0.25">
      <c r="A147" s="18"/>
      <c r="B147" s="29"/>
      <c r="C147" s="29"/>
      <c r="D147" s="21"/>
      <c r="E147" s="22"/>
      <c r="F147" s="24"/>
    </row>
    <row r="148" spans="1:6" x14ac:dyDescent="0.25">
      <c r="A148" s="18"/>
      <c r="B148" s="29"/>
      <c r="C148" s="29"/>
      <c r="D148" s="21"/>
      <c r="E148" s="22"/>
      <c r="F148" s="24"/>
    </row>
    <row r="149" spans="1:6" x14ac:dyDescent="0.25">
      <c r="A149" s="18"/>
      <c r="B149" s="29"/>
      <c r="C149" s="29"/>
      <c r="D149" s="21"/>
      <c r="E149" s="22"/>
      <c r="F149" s="24"/>
    </row>
    <row r="150" spans="1:6" x14ac:dyDescent="0.25">
      <c r="A150" s="18"/>
      <c r="B150" s="29"/>
      <c r="C150" s="29"/>
      <c r="D150" s="21"/>
      <c r="E150" s="22"/>
      <c r="F150" s="24"/>
    </row>
    <row r="151" spans="1:6" x14ac:dyDescent="0.25">
      <c r="A151" s="18"/>
      <c r="B151" s="29"/>
      <c r="C151" s="29"/>
      <c r="D151" s="21"/>
      <c r="E151" s="22"/>
      <c r="F151" s="24"/>
    </row>
    <row r="152" spans="1:6" x14ac:dyDescent="0.25">
      <c r="A152" s="18"/>
      <c r="B152" s="29"/>
      <c r="C152" s="29"/>
      <c r="D152" s="21"/>
      <c r="E152" s="22"/>
      <c r="F152" s="24"/>
    </row>
    <row r="153" spans="1:6" x14ac:dyDescent="0.25">
      <c r="A153" s="18"/>
      <c r="B153" s="29"/>
      <c r="C153" s="29"/>
      <c r="D153" s="21"/>
      <c r="E153" s="22"/>
      <c r="F153" s="24"/>
    </row>
    <row r="154" spans="1:6" x14ac:dyDescent="0.25">
      <c r="A154" s="18"/>
      <c r="B154" s="29"/>
      <c r="C154" s="29"/>
      <c r="D154" s="21"/>
      <c r="E154" s="22"/>
      <c r="F154" s="24"/>
    </row>
  </sheetData>
  <mergeCells count="104"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E16" sqref="E16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5" x14ac:dyDescent="0.25">
      <c r="A2" s="4" t="s">
        <v>48</v>
      </c>
      <c r="B2" s="4">
        <v>52.75</v>
      </c>
      <c r="C2" s="8">
        <v>2.3536165327210101</v>
      </c>
      <c r="D2" s="4">
        <f>B2*C2/100</f>
        <v>1.2415327210103329</v>
      </c>
    </row>
    <row r="3" spans="1:5" x14ac:dyDescent="0.25">
      <c r="A3" s="4" t="s">
        <v>45</v>
      </c>
      <c r="B3" s="4">
        <v>11.12</v>
      </c>
      <c r="C3" s="8">
        <v>-3.8095238095238</v>
      </c>
      <c r="D3" s="4">
        <f t="shared" ref="D3:D5" si="0">B3*C3/100</f>
        <v>-0.42361904761904656</v>
      </c>
    </row>
    <row r="4" spans="1:5" x14ac:dyDescent="0.25">
      <c r="A4" s="4" t="s">
        <v>46</v>
      </c>
      <c r="B4" s="4">
        <v>0.53</v>
      </c>
      <c r="C4" s="8">
        <v>-9.8958333333333304</v>
      </c>
      <c r="D4" s="4">
        <f t="shared" si="0"/>
        <v>-5.244791666666665E-2</v>
      </c>
    </row>
    <row r="5" spans="1:5" x14ac:dyDescent="0.25">
      <c r="A5" s="4" t="s">
        <v>47</v>
      </c>
      <c r="B5" s="4">
        <v>29.82</v>
      </c>
      <c r="C5" s="4">
        <v>-0.53</v>
      </c>
      <c r="D5" s="4">
        <f t="shared" si="0"/>
        <v>-0.15804600000000002</v>
      </c>
    </row>
    <row r="6" spans="1:5" x14ac:dyDescent="0.25">
      <c r="A6" s="12" t="s">
        <v>63</v>
      </c>
      <c r="B6" s="5">
        <f>B2++B3+B4+B5</f>
        <v>94.22</v>
      </c>
      <c r="C6" s="4"/>
      <c r="D6" s="6">
        <f>D2+D3+D4+D5</f>
        <v>0.60741975672461967</v>
      </c>
    </row>
    <row r="7" spans="1:5" x14ac:dyDescent="0.25">
      <c r="A7" s="4"/>
      <c r="B7" s="4"/>
      <c r="C7" s="4"/>
      <c r="D7" s="4"/>
    </row>
    <row r="8" spans="1:5" x14ac:dyDescent="0.25">
      <c r="A8" s="4"/>
      <c r="B8" s="4"/>
      <c r="C8" s="5"/>
      <c r="D8" s="4"/>
    </row>
    <row r="9" spans="1:5" x14ac:dyDescent="0.25">
      <c r="C9" s="4"/>
      <c r="D9" s="4"/>
      <c r="E9" s="4"/>
    </row>
    <row r="10" spans="1:5" x14ac:dyDescent="0.25">
      <c r="A10" s="29"/>
      <c r="B10" s="29"/>
      <c r="C10" s="4"/>
      <c r="D10" s="4"/>
      <c r="E10" s="17"/>
    </row>
    <row r="11" spans="1:5" x14ac:dyDescent="0.25">
      <c r="A11" s="29"/>
      <c r="B11" s="29"/>
      <c r="C11" s="10"/>
      <c r="D11" s="10"/>
    </row>
    <row r="31" spans="1:6" x14ac:dyDescent="0.25">
      <c r="A31" s="5" t="s">
        <v>68</v>
      </c>
      <c r="B31" s="30" t="s">
        <v>52</v>
      </c>
      <c r="C31" s="30"/>
      <c r="D31" s="20" t="s">
        <v>53</v>
      </c>
      <c r="E31" s="5" t="s">
        <v>67</v>
      </c>
      <c r="F31" s="5" t="s">
        <v>69</v>
      </c>
    </row>
    <row r="32" spans="1:6" x14ac:dyDescent="0.25">
      <c r="A32" s="23">
        <v>46226</v>
      </c>
      <c r="B32" s="29">
        <v>48221</v>
      </c>
      <c r="C32" s="29"/>
      <c r="D32" s="21">
        <v>28591206600</v>
      </c>
      <c r="E32" s="21">
        <v>578476685</v>
      </c>
      <c r="F32" s="24">
        <v>3.3999999999999998E-3</v>
      </c>
    </row>
    <row r="33" spans="1:6" x14ac:dyDescent="0.25">
      <c r="A33" s="23">
        <v>46227</v>
      </c>
      <c r="B33" s="29">
        <v>48802</v>
      </c>
      <c r="C33" s="29"/>
      <c r="D33" s="21">
        <v>29255953804</v>
      </c>
      <c r="E33" s="21">
        <v>630289948</v>
      </c>
      <c r="F33" s="24">
        <v>1.1999999999999999E-3</v>
      </c>
    </row>
    <row r="34" spans="1:6" x14ac:dyDescent="0.25">
      <c r="A34" s="23">
        <v>46230</v>
      </c>
      <c r="B34" s="29">
        <v>49403</v>
      </c>
      <c r="C34" s="29"/>
      <c r="D34" s="21">
        <v>30359209400</v>
      </c>
      <c r="E34" s="21">
        <v>781254453</v>
      </c>
      <c r="F34" s="24">
        <v>1.0999999999999999E-2</v>
      </c>
    </row>
    <row r="35" spans="1:6" x14ac:dyDescent="0.25">
      <c r="A35" s="23">
        <v>46231</v>
      </c>
      <c r="B35" s="29">
        <v>49817</v>
      </c>
      <c r="C35" s="29"/>
      <c r="D35" s="21">
        <v>30985486603</v>
      </c>
      <c r="E35" s="21">
        <v>577239728</v>
      </c>
      <c r="F35" s="24">
        <v>1.6000000000000001E-3</v>
      </c>
    </row>
    <row r="36" spans="1:6" x14ac:dyDescent="0.25">
      <c r="A36" s="23">
        <v>46232</v>
      </c>
      <c r="B36" s="29">
        <v>50631</v>
      </c>
      <c r="C36" s="29"/>
      <c r="D36" s="21">
        <v>32047144824</v>
      </c>
      <c r="E36" s="21">
        <v>1031302629</v>
      </c>
      <c r="F36" s="24">
        <v>1E-3</v>
      </c>
    </row>
    <row r="37" spans="1:6" x14ac:dyDescent="0.25">
      <c r="A37" s="23">
        <v>46233</v>
      </c>
      <c r="B37" s="29">
        <v>50968</v>
      </c>
      <c r="C37" s="29"/>
      <c r="D37" s="21">
        <v>32438714789</v>
      </c>
      <c r="E37" s="21">
        <v>329409310</v>
      </c>
      <c r="F37" s="24">
        <v>1.9E-3</v>
      </c>
    </row>
    <row r="38" spans="1:6" x14ac:dyDescent="0.25">
      <c r="A38" s="23">
        <v>46234</v>
      </c>
      <c r="B38" s="29">
        <v>51171</v>
      </c>
      <c r="C38" s="29"/>
      <c r="D38" s="21">
        <v>31996446996</v>
      </c>
      <c r="E38" s="21">
        <v>-281801311</v>
      </c>
      <c r="F38" s="24">
        <v>-4.8999999999999998E-3</v>
      </c>
    </row>
    <row r="39" spans="1:6" x14ac:dyDescent="0.25">
      <c r="A39" s="23">
        <v>46237</v>
      </c>
      <c r="B39" s="29">
        <v>51266</v>
      </c>
      <c r="C39" s="29"/>
      <c r="D39" s="21">
        <v>32456533228</v>
      </c>
      <c r="E39" s="21">
        <v>257679653</v>
      </c>
      <c r="F39" s="24">
        <v>6.3E-3</v>
      </c>
    </row>
    <row r="40" spans="1:6" x14ac:dyDescent="0.25">
      <c r="A40" s="23">
        <v>46238</v>
      </c>
      <c r="B40" s="29">
        <v>51083</v>
      </c>
      <c r="C40" s="29"/>
      <c r="D40" s="21">
        <v>31890486608</v>
      </c>
      <c r="E40" s="21">
        <v>-821515583</v>
      </c>
      <c r="F40" s="24">
        <v>7.9000000000000008E-3</v>
      </c>
    </row>
    <row r="41" spans="1:6" x14ac:dyDescent="0.25">
      <c r="A41" s="23">
        <v>46239</v>
      </c>
      <c r="B41" s="29">
        <v>51200</v>
      </c>
      <c r="C41" s="29"/>
      <c r="D41" s="21">
        <v>32440313296</v>
      </c>
      <c r="E41" s="21">
        <v>642330037</v>
      </c>
      <c r="F41" s="24">
        <v>-2.8999999999999998E-3</v>
      </c>
    </row>
    <row r="42" spans="1:6" x14ac:dyDescent="0.25">
      <c r="A42" s="23">
        <v>46240</v>
      </c>
      <c r="B42" s="29">
        <v>51726</v>
      </c>
      <c r="C42" s="29"/>
      <c r="D42" s="21">
        <v>34436195517</v>
      </c>
      <c r="E42" s="21">
        <v>1878923846</v>
      </c>
      <c r="F42" s="24">
        <v>3.5999999999999999E-3</v>
      </c>
    </row>
    <row r="43" spans="1:6" x14ac:dyDescent="0.25">
      <c r="A43" s="23">
        <v>46241</v>
      </c>
      <c r="B43" s="29">
        <v>52189</v>
      </c>
      <c r="C43" s="29"/>
      <c r="D43" s="21">
        <v>34489939181</v>
      </c>
      <c r="E43" s="21">
        <v>-25196290</v>
      </c>
      <c r="F43" s="24">
        <v>2.3E-3</v>
      </c>
    </row>
    <row r="44" spans="1:6" x14ac:dyDescent="0.25">
      <c r="A44" s="23">
        <v>46244</v>
      </c>
      <c r="B44" s="29">
        <v>52228</v>
      </c>
      <c r="C44" s="29"/>
      <c r="D44" s="21">
        <v>34191459593</v>
      </c>
      <c r="E44" s="21">
        <v>-347610039</v>
      </c>
      <c r="F44" s="24">
        <v>1.1000000000000001E-3</v>
      </c>
    </row>
    <row r="45" spans="1:6" x14ac:dyDescent="0.25">
      <c r="A45" s="23"/>
      <c r="B45" s="29"/>
      <c r="C45" s="29"/>
      <c r="D45" s="21"/>
      <c r="E45" s="21"/>
      <c r="F45" s="24"/>
    </row>
    <row r="46" spans="1:6" x14ac:dyDescent="0.25">
      <c r="A46" s="23"/>
      <c r="B46" s="29"/>
      <c r="C46" s="29"/>
      <c r="D46" s="21"/>
      <c r="E46" s="21"/>
      <c r="F46" s="24"/>
    </row>
    <row r="47" spans="1:6" x14ac:dyDescent="0.25">
      <c r="A47" s="23"/>
      <c r="B47" s="29"/>
      <c r="C47" s="29"/>
      <c r="D47" s="21"/>
      <c r="E47" s="21"/>
      <c r="F47" s="24"/>
    </row>
    <row r="48" spans="1:6" x14ac:dyDescent="0.25">
      <c r="A48" s="23"/>
      <c r="B48" s="29"/>
      <c r="C48" s="29"/>
      <c r="D48" s="21"/>
      <c r="E48" s="21"/>
      <c r="F48" s="24"/>
    </row>
    <row r="49" spans="1:6" x14ac:dyDescent="0.25">
      <c r="A49" s="23"/>
      <c r="B49" s="29"/>
      <c r="C49" s="29"/>
      <c r="D49" s="21"/>
      <c r="E49" s="21"/>
      <c r="F49" s="24"/>
    </row>
    <row r="50" spans="1:6" x14ac:dyDescent="0.25">
      <c r="A50" s="23"/>
      <c r="B50" s="29"/>
      <c r="C50" s="29"/>
      <c r="D50" s="21"/>
      <c r="E50" s="21"/>
      <c r="F50" s="24"/>
    </row>
    <row r="51" spans="1:6" x14ac:dyDescent="0.25">
      <c r="A51" s="23"/>
      <c r="B51" s="29"/>
      <c r="C51" s="29"/>
      <c r="D51" s="21"/>
      <c r="E51" s="21"/>
      <c r="F51" s="24"/>
    </row>
    <row r="52" spans="1:6" x14ac:dyDescent="0.25">
      <c r="A52" s="23"/>
      <c r="B52" s="29"/>
      <c r="C52" s="29"/>
      <c r="D52" s="21"/>
      <c r="E52" s="21"/>
      <c r="F52" s="24"/>
    </row>
    <row r="53" spans="1:6" x14ac:dyDescent="0.25">
      <c r="A53" s="23"/>
      <c r="B53" s="29"/>
      <c r="C53" s="29"/>
      <c r="D53" s="21"/>
      <c r="E53" s="21"/>
      <c r="F53" s="24"/>
    </row>
    <row r="54" spans="1:6" x14ac:dyDescent="0.25">
      <c r="A54" s="23"/>
      <c r="B54" s="29"/>
      <c r="C54" s="29"/>
      <c r="D54" s="21"/>
      <c r="E54" s="21"/>
      <c r="F54" s="24"/>
    </row>
    <row r="55" spans="1:6" x14ac:dyDescent="0.25">
      <c r="A55" s="23"/>
      <c r="B55" s="29"/>
      <c r="C55" s="29"/>
      <c r="D55" s="21"/>
      <c r="E55" s="21"/>
      <c r="F55" s="24"/>
    </row>
    <row r="56" spans="1:6" x14ac:dyDescent="0.25">
      <c r="A56" s="23"/>
      <c r="B56" s="29"/>
      <c r="C56" s="29"/>
      <c r="D56" s="21"/>
      <c r="E56" s="21"/>
      <c r="F56" s="24"/>
    </row>
    <row r="57" spans="1:6" x14ac:dyDescent="0.25">
      <c r="A57" s="23"/>
      <c r="B57" s="29"/>
      <c r="C57" s="29"/>
      <c r="D57" s="21"/>
      <c r="E57" s="21"/>
      <c r="F57" s="24"/>
    </row>
    <row r="58" spans="1:6" x14ac:dyDescent="0.25">
      <c r="A58" s="23"/>
      <c r="B58" s="29"/>
      <c r="C58" s="29"/>
      <c r="D58" s="21"/>
      <c r="E58" s="21"/>
      <c r="F58" s="24"/>
    </row>
    <row r="59" spans="1:6" x14ac:dyDescent="0.25">
      <c r="A59" s="23"/>
      <c r="B59" s="29"/>
      <c r="C59" s="29"/>
      <c r="D59" s="21"/>
      <c r="E59" s="21"/>
      <c r="F59" s="24"/>
    </row>
    <row r="60" spans="1:6" x14ac:dyDescent="0.25">
      <c r="A60" s="23"/>
      <c r="B60" s="29"/>
      <c r="C60" s="29"/>
      <c r="D60" s="21"/>
      <c r="E60" s="21"/>
      <c r="F60" s="24"/>
    </row>
    <row r="61" spans="1:6" x14ac:dyDescent="0.25">
      <c r="A61" s="23"/>
      <c r="B61" s="29"/>
      <c r="C61" s="29"/>
      <c r="D61" s="21"/>
      <c r="E61" s="21"/>
      <c r="F61" s="24"/>
    </row>
    <row r="62" spans="1:6" x14ac:dyDescent="0.25">
      <c r="A62" s="23"/>
      <c r="B62" s="29"/>
      <c r="C62" s="29"/>
      <c r="D62" s="21"/>
      <c r="E62" s="21"/>
      <c r="F62" s="24"/>
    </row>
    <row r="63" spans="1:6" x14ac:dyDescent="0.25">
      <c r="A63" s="23"/>
      <c r="B63" s="29"/>
      <c r="C63" s="29"/>
      <c r="D63" s="21"/>
      <c r="E63" s="21"/>
      <c r="F63" s="24"/>
    </row>
    <row r="64" spans="1:6" x14ac:dyDescent="0.25">
      <c r="A64" s="23"/>
      <c r="B64" s="29"/>
      <c r="C64" s="29"/>
      <c r="D64" s="21"/>
      <c r="E64" s="21"/>
      <c r="F64" s="24"/>
    </row>
    <row r="65" spans="1:6" x14ac:dyDescent="0.25">
      <c r="A65" s="23"/>
      <c r="B65" s="29"/>
      <c r="C65" s="29"/>
      <c r="D65" s="21"/>
      <c r="E65" s="21"/>
      <c r="F65" s="24"/>
    </row>
    <row r="66" spans="1:6" x14ac:dyDescent="0.25">
      <c r="A66" s="23"/>
      <c r="B66" s="29"/>
      <c r="C66" s="29"/>
      <c r="D66" s="21"/>
      <c r="E66" s="21"/>
      <c r="F66" s="24"/>
    </row>
    <row r="67" spans="1:6" x14ac:dyDescent="0.25">
      <c r="A67" s="23"/>
      <c r="B67" s="29"/>
      <c r="C67" s="29"/>
      <c r="D67" s="21"/>
      <c r="E67" s="21"/>
      <c r="F67" s="24"/>
    </row>
    <row r="68" spans="1:6" x14ac:dyDescent="0.25">
      <c r="A68" s="23"/>
      <c r="B68" s="29"/>
      <c r="C68" s="29"/>
      <c r="D68" s="21"/>
      <c r="E68" s="21"/>
      <c r="F68" s="24"/>
    </row>
    <row r="69" spans="1:6" x14ac:dyDescent="0.25">
      <c r="A69" s="23"/>
      <c r="B69" s="29"/>
      <c r="C69" s="29"/>
      <c r="D69" s="21"/>
      <c r="E69" s="21"/>
      <c r="F69" s="24"/>
    </row>
    <row r="70" spans="1:6" x14ac:dyDescent="0.25">
      <c r="A70" s="23"/>
      <c r="B70" s="29"/>
      <c r="C70" s="29"/>
      <c r="D70" s="21"/>
      <c r="E70" s="21"/>
      <c r="F70" s="24"/>
    </row>
    <row r="71" spans="1:6" x14ac:dyDescent="0.25">
      <c r="A71" s="23"/>
      <c r="B71" s="29"/>
      <c r="C71" s="29"/>
      <c r="D71" s="21"/>
      <c r="E71" s="21"/>
      <c r="F71" s="24"/>
    </row>
    <row r="72" spans="1:6" x14ac:dyDescent="0.25">
      <c r="A72" s="23"/>
      <c r="B72" s="29"/>
      <c r="C72" s="29"/>
      <c r="D72" s="21"/>
      <c r="E72" s="21"/>
      <c r="F72" s="24"/>
    </row>
    <row r="73" spans="1:6" x14ac:dyDescent="0.25">
      <c r="A73" s="23"/>
      <c r="B73" s="29"/>
      <c r="C73" s="29"/>
      <c r="D73" s="21"/>
      <c r="E73" s="21"/>
      <c r="F73" s="24"/>
    </row>
    <row r="74" spans="1:6" x14ac:dyDescent="0.25">
      <c r="A74" s="23"/>
      <c r="B74" s="29"/>
      <c r="C74" s="29"/>
      <c r="D74" s="21"/>
      <c r="E74" s="21"/>
      <c r="F74" s="24"/>
    </row>
    <row r="75" spans="1:6" x14ac:dyDescent="0.25">
      <c r="A75" s="23"/>
      <c r="B75" s="29"/>
      <c r="C75" s="29"/>
      <c r="D75" s="21"/>
      <c r="E75" s="21"/>
      <c r="F75" s="24"/>
    </row>
    <row r="76" spans="1:6" x14ac:dyDescent="0.25">
      <c r="A76" s="23"/>
      <c r="B76" s="29"/>
      <c r="C76" s="29"/>
      <c r="D76" s="21"/>
      <c r="E76" s="21"/>
      <c r="F76" s="24"/>
    </row>
    <row r="77" spans="1:6" x14ac:dyDescent="0.25">
      <c r="A77" s="23"/>
      <c r="B77" s="29"/>
      <c r="C77" s="29"/>
      <c r="D77" s="21"/>
      <c r="E77" s="21"/>
      <c r="F77" s="24"/>
    </row>
    <row r="78" spans="1:6" x14ac:dyDescent="0.25">
      <c r="A78" s="23"/>
      <c r="B78" s="29"/>
      <c r="C78" s="29"/>
      <c r="D78" s="21"/>
      <c r="E78" s="21"/>
      <c r="F78" s="24"/>
    </row>
    <row r="79" spans="1:6" x14ac:dyDescent="0.25">
      <c r="A79" s="23"/>
      <c r="B79" s="29"/>
      <c r="C79" s="29"/>
      <c r="D79" s="21"/>
      <c r="E79" s="21"/>
      <c r="F79" s="24"/>
    </row>
    <row r="80" spans="1:6" x14ac:dyDescent="0.25">
      <c r="A80" s="23"/>
      <c r="B80" s="29"/>
      <c r="C80" s="29"/>
      <c r="D80" s="21"/>
      <c r="E80" s="21"/>
      <c r="F80" s="24"/>
    </row>
    <row r="81" spans="1:6" x14ac:dyDescent="0.25">
      <c r="A81" s="23"/>
      <c r="B81" s="29"/>
      <c r="C81" s="29"/>
      <c r="D81" s="21"/>
      <c r="E81" s="21"/>
      <c r="F81" s="24"/>
    </row>
    <row r="82" spans="1:6" x14ac:dyDescent="0.25">
      <c r="A82" s="23"/>
      <c r="B82" s="29"/>
      <c r="C82" s="29"/>
      <c r="D82" s="21"/>
      <c r="E82" s="21"/>
      <c r="F82" s="24"/>
    </row>
    <row r="83" spans="1:6" x14ac:dyDescent="0.25">
      <c r="A83" s="23"/>
      <c r="B83" s="29"/>
      <c r="C83" s="29"/>
      <c r="D83" s="21"/>
      <c r="E83" s="21"/>
      <c r="F83" s="24"/>
    </row>
    <row r="84" spans="1:6" x14ac:dyDescent="0.25">
      <c r="A84" s="23"/>
      <c r="B84" s="29"/>
      <c r="C84" s="29"/>
      <c r="D84" s="21"/>
      <c r="E84" s="21"/>
      <c r="F84" s="24"/>
    </row>
    <row r="85" spans="1:6" x14ac:dyDescent="0.25">
      <c r="A85" s="23"/>
      <c r="B85" s="29"/>
      <c r="C85" s="29"/>
      <c r="D85" s="21"/>
      <c r="E85" s="21"/>
      <c r="F85" s="24"/>
    </row>
    <row r="86" spans="1:6" x14ac:dyDescent="0.25">
      <c r="A86" s="23"/>
      <c r="B86" s="29"/>
      <c r="C86" s="29"/>
      <c r="D86" s="21"/>
      <c r="E86" s="21"/>
      <c r="F86" s="24"/>
    </row>
    <row r="87" spans="1:6" x14ac:dyDescent="0.25">
      <c r="A87" s="23"/>
      <c r="B87" s="29"/>
      <c r="C87" s="29"/>
      <c r="D87" s="21"/>
      <c r="E87" s="21"/>
      <c r="F87" s="24"/>
    </row>
    <row r="88" spans="1:6" x14ac:dyDescent="0.25">
      <c r="A88" s="23"/>
      <c r="B88" s="29"/>
      <c r="C88" s="29"/>
      <c r="D88" s="21"/>
      <c r="E88" s="21"/>
      <c r="F88" s="24"/>
    </row>
    <row r="89" spans="1:6" x14ac:dyDescent="0.25">
      <c r="A89" s="23"/>
      <c r="B89" s="29"/>
      <c r="C89" s="29"/>
      <c r="D89" s="21"/>
      <c r="E89" s="21"/>
      <c r="F89" s="24"/>
    </row>
    <row r="90" spans="1:6" x14ac:dyDescent="0.25">
      <c r="A90" s="23"/>
      <c r="B90" s="29"/>
      <c r="C90" s="29"/>
      <c r="D90" s="21"/>
      <c r="E90" s="21"/>
      <c r="F90" s="24"/>
    </row>
    <row r="91" spans="1:6" x14ac:dyDescent="0.25">
      <c r="A91" s="23"/>
      <c r="B91" s="29"/>
      <c r="C91" s="29"/>
      <c r="D91" s="21"/>
      <c r="E91" s="21"/>
      <c r="F91" s="24"/>
    </row>
    <row r="92" spans="1:6" x14ac:dyDescent="0.25">
      <c r="A92" s="23"/>
      <c r="B92" s="29"/>
      <c r="C92" s="29"/>
      <c r="D92" s="21"/>
      <c r="E92" s="21"/>
      <c r="F92" s="24"/>
    </row>
    <row r="93" spans="1:6" x14ac:dyDescent="0.25">
      <c r="A93" s="23"/>
      <c r="B93" s="29"/>
      <c r="C93" s="29"/>
      <c r="D93" s="21"/>
      <c r="E93" s="21"/>
      <c r="F93" s="24"/>
    </row>
    <row r="94" spans="1:6" x14ac:dyDescent="0.25">
      <c r="A94" s="23"/>
      <c r="B94" s="29"/>
      <c r="C94" s="29"/>
      <c r="D94" s="21"/>
      <c r="E94" s="21"/>
      <c r="F94" s="24"/>
    </row>
    <row r="95" spans="1:6" x14ac:dyDescent="0.25">
      <c r="A95" s="23"/>
      <c r="B95" s="29"/>
      <c r="C95" s="29"/>
      <c r="D95" s="21"/>
      <c r="E95" s="21"/>
      <c r="F95" s="24"/>
    </row>
    <row r="96" spans="1:6" x14ac:dyDescent="0.25">
      <c r="A96" s="23"/>
      <c r="B96" s="29"/>
      <c r="C96" s="29"/>
      <c r="D96" s="21"/>
      <c r="E96" s="21"/>
      <c r="F96" s="24"/>
    </row>
    <row r="97" spans="1:6" x14ac:dyDescent="0.25">
      <c r="A97" s="23"/>
      <c r="B97" s="29"/>
      <c r="C97" s="29"/>
      <c r="D97" s="21"/>
      <c r="E97" s="21"/>
      <c r="F97" s="24"/>
    </row>
    <row r="98" spans="1:6" x14ac:dyDescent="0.25">
      <c r="A98" s="23"/>
      <c r="B98" s="29"/>
      <c r="C98" s="29"/>
      <c r="D98" s="21"/>
      <c r="E98" s="21"/>
      <c r="F98" s="24"/>
    </row>
    <row r="99" spans="1:6" x14ac:dyDescent="0.25">
      <c r="A99" s="23"/>
      <c r="B99" s="29"/>
      <c r="C99" s="29"/>
      <c r="D99" s="21"/>
      <c r="E99" s="21"/>
      <c r="F99" s="24"/>
    </row>
    <row r="100" spans="1:6" x14ac:dyDescent="0.25">
      <c r="A100" s="23"/>
      <c r="B100" s="29"/>
      <c r="C100" s="29"/>
      <c r="D100" s="21"/>
      <c r="E100" s="21"/>
      <c r="F100" s="24"/>
    </row>
    <row r="101" spans="1:6" x14ac:dyDescent="0.25">
      <c r="A101" s="23"/>
      <c r="B101" s="29"/>
      <c r="C101" s="29"/>
      <c r="D101" s="21"/>
      <c r="E101" s="21"/>
      <c r="F101" s="24"/>
    </row>
    <row r="102" spans="1:6" x14ac:dyDescent="0.25">
      <c r="A102" s="23"/>
      <c r="B102" s="29"/>
      <c r="C102" s="29"/>
      <c r="D102" s="21"/>
      <c r="E102" s="21"/>
      <c r="F102" s="24"/>
    </row>
    <row r="103" spans="1:6" x14ac:dyDescent="0.25">
      <c r="A103" s="23"/>
      <c r="B103" s="29"/>
      <c r="C103" s="29"/>
      <c r="D103" s="21"/>
      <c r="E103" s="21"/>
      <c r="F103" s="24"/>
    </row>
    <row r="104" spans="1:6" x14ac:dyDescent="0.25">
      <c r="A104" s="23"/>
      <c r="B104" s="29"/>
      <c r="C104" s="29"/>
      <c r="D104" s="21"/>
      <c r="E104" s="21"/>
      <c r="F104" s="24"/>
    </row>
    <row r="105" spans="1:6" x14ac:dyDescent="0.25">
      <c r="A105" s="23"/>
      <c r="B105" s="29"/>
      <c r="C105" s="29"/>
      <c r="D105" s="21"/>
      <c r="E105" s="21"/>
      <c r="F105" s="24"/>
    </row>
    <row r="106" spans="1:6" x14ac:dyDescent="0.25">
      <c r="A106" s="23"/>
      <c r="B106" s="29"/>
      <c r="C106" s="29"/>
      <c r="D106" s="21"/>
      <c r="E106" s="21"/>
      <c r="F106" s="24"/>
    </row>
    <row r="107" spans="1:6" x14ac:dyDescent="0.25">
      <c r="A107" s="23"/>
      <c r="B107" s="29"/>
      <c r="C107" s="29"/>
      <c r="D107" s="21"/>
      <c r="E107" s="21"/>
      <c r="F107" s="24"/>
    </row>
    <row r="108" spans="1:6" x14ac:dyDescent="0.25">
      <c r="A108" s="23"/>
      <c r="B108" s="29"/>
      <c r="C108" s="29"/>
      <c r="D108" s="21"/>
      <c r="E108" s="21"/>
      <c r="F108" s="24"/>
    </row>
    <row r="109" spans="1:6" x14ac:dyDescent="0.25">
      <c r="A109" s="23"/>
      <c r="B109" s="29"/>
      <c r="C109" s="29"/>
      <c r="D109" s="21"/>
      <c r="E109" s="21"/>
      <c r="F109" s="24"/>
    </row>
    <row r="110" spans="1:6" x14ac:dyDescent="0.25">
      <c r="A110" s="23"/>
      <c r="B110" s="29"/>
      <c r="C110" s="29"/>
      <c r="D110" s="21"/>
      <c r="E110" s="21"/>
      <c r="F110" s="24"/>
    </row>
    <row r="111" spans="1:6" x14ac:dyDescent="0.25">
      <c r="A111" s="23"/>
      <c r="B111" s="29"/>
      <c r="C111" s="29"/>
      <c r="D111" s="21"/>
      <c r="E111" s="21"/>
      <c r="F111" s="24"/>
    </row>
    <row r="112" spans="1:6" x14ac:dyDescent="0.25">
      <c r="A112" s="23"/>
      <c r="B112" s="29"/>
      <c r="C112" s="29"/>
      <c r="D112" s="21"/>
      <c r="E112" s="21"/>
      <c r="F112" s="24"/>
    </row>
    <row r="113" spans="1:6" x14ac:dyDescent="0.25">
      <c r="A113" s="23"/>
      <c r="B113" s="29"/>
      <c r="C113" s="29"/>
      <c r="D113" s="21"/>
      <c r="E113" s="21"/>
      <c r="F113" s="24"/>
    </row>
    <row r="114" spans="1:6" x14ac:dyDescent="0.25">
      <c r="A114" s="23"/>
      <c r="B114" s="29"/>
      <c r="C114" s="29"/>
      <c r="D114" s="21"/>
      <c r="E114" s="21"/>
      <c r="F114" s="24"/>
    </row>
    <row r="115" spans="1:6" x14ac:dyDescent="0.25">
      <c r="A115" s="23"/>
      <c r="B115" s="29"/>
      <c r="C115" s="29"/>
      <c r="D115" s="21"/>
      <c r="E115" s="21"/>
      <c r="F115" s="24"/>
    </row>
    <row r="116" spans="1:6" x14ac:dyDescent="0.25">
      <c r="A116" s="23"/>
      <c r="B116" s="29"/>
      <c r="C116" s="29"/>
      <c r="D116" s="21"/>
      <c r="E116" s="21"/>
      <c r="F116" s="24"/>
    </row>
    <row r="117" spans="1:6" x14ac:dyDescent="0.25">
      <c r="A117" s="23"/>
      <c r="B117" s="29"/>
      <c r="C117" s="29"/>
      <c r="D117" s="21"/>
      <c r="E117" s="21"/>
      <c r="F117" s="24"/>
    </row>
    <row r="118" spans="1:6" x14ac:dyDescent="0.25">
      <c r="A118" s="23"/>
      <c r="B118" s="29"/>
      <c r="C118" s="29"/>
      <c r="D118" s="21"/>
      <c r="E118" s="21"/>
      <c r="F118" s="24"/>
    </row>
    <row r="119" spans="1:6" x14ac:dyDescent="0.25">
      <c r="A119" s="23"/>
      <c r="B119" s="29"/>
      <c r="C119" s="29"/>
      <c r="D119" s="21"/>
      <c r="E119" s="21"/>
      <c r="F119" s="24"/>
    </row>
    <row r="120" spans="1:6" x14ac:dyDescent="0.25">
      <c r="A120" s="23"/>
      <c r="B120" s="29"/>
      <c r="C120" s="29"/>
      <c r="D120" s="21"/>
      <c r="E120" s="21"/>
      <c r="F120" s="24"/>
    </row>
    <row r="121" spans="1:6" x14ac:dyDescent="0.25">
      <c r="A121" s="23"/>
      <c r="B121" s="29"/>
      <c r="C121" s="29"/>
      <c r="D121" s="21"/>
      <c r="E121" s="21"/>
      <c r="F121" s="24"/>
    </row>
    <row r="122" spans="1:6" x14ac:dyDescent="0.25">
      <c r="A122" s="23"/>
      <c r="B122" s="29"/>
      <c r="C122" s="29"/>
      <c r="D122" s="21"/>
      <c r="E122" s="21"/>
      <c r="F122" s="24"/>
    </row>
    <row r="123" spans="1:6" x14ac:dyDescent="0.25">
      <c r="A123" s="23"/>
      <c r="B123" s="29"/>
      <c r="C123" s="29"/>
      <c r="D123" s="21"/>
      <c r="E123" s="21"/>
      <c r="F123" s="24"/>
    </row>
    <row r="124" spans="1:6" x14ac:dyDescent="0.25">
      <c r="A124" s="23"/>
      <c r="B124" s="29"/>
      <c r="C124" s="29"/>
      <c r="D124" s="21"/>
      <c r="E124" s="21"/>
      <c r="F124" s="24"/>
    </row>
    <row r="125" spans="1:6" x14ac:dyDescent="0.25">
      <c r="A125" s="23"/>
      <c r="B125" s="29"/>
      <c r="C125" s="29"/>
      <c r="D125" s="21"/>
      <c r="E125" s="21"/>
      <c r="F125" s="24"/>
    </row>
    <row r="126" spans="1:6" x14ac:dyDescent="0.25">
      <c r="A126" s="23"/>
      <c r="B126" s="29"/>
      <c r="C126" s="29"/>
      <c r="D126" s="21"/>
      <c r="E126" s="21"/>
      <c r="F126" s="24"/>
    </row>
    <row r="127" spans="1:6" x14ac:dyDescent="0.25">
      <c r="A127" s="23"/>
      <c r="B127" s="29"/>
      <c r="C127" s="29"/>
      <c r="D127" s="21"/>
      <c r="E127" s="21"/>
      <c r="F127" s="24"/>
    </row>
    <row r="128" spans="1:6" x14ac:dyDescent="0.25">
      <c r="A128" s="23"/>
      <c r="B128" s="29"/>
      <c r="C128" s="29"/>
      <c r="D128" s="21"/>
      <c r="E128" s="21"/>
      <c r="F128" s="24"/>
    </row>
    <row r="129" spans="1:6" x14ac:dyDescent="0.25">
      <c r="A129" s="23"/>
      <c r="B129" s="29"/>
      <c r="C129" s="29"/>
      <c r="D129" s="21"/>
      <c r="E129" s="21"/>
      <c r="F129" s="24"/>
    </row>
    <row r="130" spans="1:6" x14ac:dyDescent="0.25">
      <c r="A130" s="23"/>
      <c r="B130" s="29"/>
      <c r="C130" s="29"/>
      <c r="D130" s="21"/>
      <c r="E130" s="21"/>
      <c r="F130" s="24"/>
    </row>
    <row r="131" spans="1:6" x14ac:dyDescent="0.25">
      <c r="A131" s="23"/>
      <c r="B131" s="29"/>
      <c r="C131" s="29"/>
      <c r="D131" s="21"/>
      <c r="E131" s="21"/>
      <c r="F131" s="24"/>
    </row>
    <row r="132" spans="1:6" x14ac:dyDescent="0.25">
      <c r="A132" s="23"/>
      <c r="B132" s="29"/>
      <c r="C132" s="29"/>
      <c r="D132" s="21"/>
      <c r="E132" s="21"/>
      <c r="F132" s="24"/>
    </row>
    <row r="133" spans="1:6" x14ac:dyDescent="0.25">
      <c r="A133" s="23"/>
      <c r="B133" s="29"/>
      <c r="C133" s="29"/>
      <c r="D133" s="21"/>
      <c r="E133" s="21"/>
      <c r="F133" s="24"/>
    </row>
    <row r="134" spans="1:6" x14ac:dyDescent="0.25">
      <c r="A134" s="23"/>
      <c r="B134" s="29"/>
      <c r="C134" s="29"/>
      <c r="D134" s="21"/>
      <c r="E134" s="21"/>
      <c r="F134" s="24"/>
    </row>
    <row r="135" spans="1:6" x14ac:dyDescent="0.25">
      <c r="A135" s="23"/>
      <c r="B135" s="29"/>
      <c r="C135" s="29"/>
      <c r="D135" s="21"/>
      <c r="E135" s="21"/>
      <c r="F135" s="24"/>
    </row>
    <row r="136" spans="1:6" x14ac:dyDescent="0.25">
      <c r="A136" s="23"/>
      <c r="B136" s="29"/>
      <c r="C136" s="29"/>
      <c r="D136" s="21"/>
      <c r="E136" s="21"/>
      <c r="F136" s="24"/>
    </row>
    <row r="137" spans="1:6" x14ac:dyDescent="0.25">
      <c r="A137" s="23"/>
      <c r="B137" s="29"/>
      <c r="C137" s="29"/>
      <c r="D137" s="21"/>
      <c r="E137" s="21"/>
      <c r="F137" s="24"/>
    </row>
    <row r="138" spans="1:6" x14ac:dyDescent="0.25">
      <c r="A138" s="23"/>
      <c r="B138" s="29"/>
      <c r="C138" s="29"/>
      <c r="D138" s="21"/>
      <c r="E138" s="21"/>
      <c r="F138" s="24"/>
    </row>
    <row r="139" spans="1:6" x14ac:dyDescent="0.25">
      <c r="A139" s="23"/>
      <c r="B139" s="29"/>
      <c r="C139" s="29"/>
      <c r="D139" s="21"/>
      <c r="E139" s="21"/>
      <c r="F139" s="24"/>
    </row>
    <row r="140" spans="1:6" x14ac:dyDescent="0.25">
      <c r="A140" s="23"/>
      <c r="B140" s="29"/>
      <c r="C140" s="29"/>
      <c r="D140" s="21"/>
      <c r="E140" s="21"/>
      <c r="F140" s="24"/>
    </row>
    <row r="141" spans="1:6" x14ac:dyDescent="0.25">
      <c r="A141" s="23"/>
      <c r="B141" s="29"/>
      <c r="C141" s="29"/>
      <c r="D141" s="21"/>
      <c r="E141" s="21"/>
      <c r="F141" s="24"/>
    </row>
  </sheetData>
  <mergeCells count="113"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35:C35"/>
    <mergeCell ref="B36:C36"/>
    <mergeCell ref="B37:C37"/>
    <mergeCell ref="B38:C38"/>
    <mergeCell ref="B39:C39"/>
    <mergeCell ref="B34:C34"/>
    <mergeCell ref="B33:C33"/>
    <mergeCell ref="A10:B10"/>
    <mergeCell ref="A11:B11"/>
    <mergeCell ref="B31:C31"/>
    <mergeCell ref="B32:C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80"/>
  <sheetViews>
    <sheetView tabSelected="1" workbookViewId="0">
      <selection activeCell="F27" sqref="F27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50</v>
      </c>
      <c r="B2" s="4">
        <v>9.14</v>
      </c>
      <c r="C2" s="3">
        <v>0.80482897384305796</v>
      </c>
      <c r="D2" s="7">
        <f>B2*C2/100</f>
        <v>7.3561368209255504E-2</v>
      </c>
    </row>
    <row r="3" spans="1:4" x14ac:dyDescent="0.25">
      <c r="A3" s="4" t="s">
        <v>5</v>
      </c>
      <c r="B3" s="4">
        <v>8.17</v>
      </c>
      <c r="C3" s="3">
        <v>-2.0408163265306101</v>
      </c>
      <c r="D3" s="7">
        <f t="shared" ref="D3:D50" si="0">B3*C3/100</f>
        <v>-0.16673469387755083</v>
      </c>
    </row>
    <row r="4" spans="1:4" x14ac:dyDescent="0.25">
      <c r="A4" s="4" t="s">
        <v>3</v>
      </c>
      <c r="B4" s="4">
        <v>8.1199999999999992</v>
      </c>
      <c r="C4" s="3">
        <v>1.5625</v>
      </c>
      <c r="D4" s="7">
        <f t="shared" si="0"/>
        <v>0.12687499999999999</v>
      </c>
    </row>
    <row r="5" spans="1:4" x14ac:dyDescent="0.25">
      <c r="A5" s="4" t="s">
        <v>1</v>
      </c>
      <c r="B5" s="4">
        <v>6.99</v>
      </c>
      <c r="C5" s="3">
        <v>0</v>
      </c>
      <c r="D5" s="7">
        <f t="shared" si="0"/>
        <v>0</v>
      </c>
    </row>
    <row r="6" spans="1:4" x14ac:dyDescent="0.25">
      <c r="A6" s="4" t="s">
        <v>6</v>
      </c>
      <c r="B6" s="4">
        <v>5.99</v>
      </c>
      <c r="C6" s="3">
        <v>-0.87</v>
      </c>
      <c r="D6" s="7">
        <f t="shared" si="0"/>
        <v>-5.2113000000000007E-2</v>
      </c>
    </row>
    <row r="7" spans="1:4" x14ac:dyDescent="0.25">
      <c r="A7" s="4" t="s">
        <v>70</v>
      </c>
      <c r="B7" s="4">
        <v>4.88</v>
      </c>
      <c r="C7" s="27">
        <v>-0.47058823529411697</v>
      </c>
      <c r="D7" s="7">
        <f t="shared" si="0"/>
        <v>-2.2964705882352908E-2</v>
      </c>
    </row>
    <row r="8" spans="1:4" x14ac:dyDescent="0.25">
      <c r="A8" s="4" t="s">
        <v>7</v>
      </c>
      <c r="B8" s="26">
        <v>4.46</v>
      </c>
      <c r="C8" s="3">
        <v>3.30578512396694</v>
      </c>
      <c r="D8" s="7">
        <f t="shared" si="0"/>
        <v>0.14743801652892552</v>
      </c>
    </row>
    <row r="9" spans="1:4" x14ac:dyDescent="0.25">
      <c r="A9" s="4" t="s">
        <v>8</v>
      </c>
      <c r="B9" s="4">
        <v>4.17</v>
      </c>
      <c r="C9" s="3">
        <v>1.0309278350515401</v>
      </c>
      <c r="D9" s="7">
        <f t="shared" si="0"/>
        <v>4.2989690721649217E-2</v>
      </c>
    </row>
    <row r="10" spans="1:4" x14ac:dyDescent="0.25">
      <c r="A10" s="4" t="s">
        <v>4</v>
      </c>
      <c r="B10" s="4">
        <v>3.23</v>
      </c>
      <c r="C10" s="3">
        <v>-1.06122448979591</v>
      </c>
      <c r="D10" s="7">
        <f t="shared" si="0"/>
        <v>-3.4277551020407894E-2</v>
      </c>
    </row>
    <row r="11" spans="1:4" x14ac:dyDescent="0.25">
      <c r="A11" s="4" t="s">
        <v>16</v>
      </c>
      <c r="B11" s="4">
        <v>2.84</v>
      </c>
      <c r="C11" s="28">
        <v>-1.4332247557003199</v>
      </c>
      <c r="D11" s="7">
        <f t="shared" si="0"/>
        <v>-4.0703583061889086E-2</v>
      </c>
    </row>
    <row r="12" spans="1:4" x14ac:dyDescent="0.25">
      <c r="A12" s="4" t="s">
        <v>33</v>
      </c>
      <c r="B12" s="4">
        <v>2.54</v>
      </c>
      <c r="C12" s="3">
        <v>3.0680728667305801</v>
      </c>
      <c r="D12" s="7">
        <f t="shared" si="0"/>
        <v>7.7929050814956741E-2</v>
      </c>
    </row>
    <row r="13" spans="1:4" x14ac:dyDescent="0.25">
      <c r="A13" s="4" t="s">
        <v>18</v>
      </c>
      <c r="B13" s="26">
        <v>2.37</v>
      </c>
      <c r="C13" s="3">
        <v>-2.9</v>
      </c>
      <c r="D13" s="7">
        <f t="shared" si="0"/>
        <v>-6.8729999999999999E-2</v>
      </c>
    </row>
    <row r="14" spans="1:4" x14ac:dyDescent="0.25">
      <c r="A14" s="4" t="s">
        <v>71</v>
      </c>
      <c r="B14" s="26">
        <v>2.37</v>
      </c>
      <c r="C14" s="27">
        <v>-4.6535677352637004</v>
      </c>
      <c r="D14" s="7">
        <f t="shared" si="0"/>
        <v>-0.1102895553257497</v>
      </c>
    </row>
    <row r="15" spans="1:4" x14ac:dyDescent="0.25">
      <c r="A15" s="4" t="s">
        <v>60</v>
      </c>
      <c r="B15" s="26">
        <v>2.21</v>
      </c>
      <c r="C15" s="3">
        <v>-1.6189962223421399</v>
      </c>
      <c r="D15" s="7">
        <f t="shared" si="0"/>
        <v>-3.5779816513761296E-2</v>
      </c>
    </row>
    <row r="16" spans="1:4" x14ac:dyDescent="0.25">
      <c r="A16" s="4" t="s">
        <v>2</v>
      </c>
      <c r="B16" s="4">
        <v>1.93</v>
      </c>
      <c r="C16" s="3">
        <v>0.51107325383304902</v>
      </c>
      <c r="D16" s="7">
        <f t="shared" si="0"/>
        <v>9.8637137989778453E-3</v>
      </c>
    </row>
    <row r="17" spans="1:4" x14ac:dyDescent="0.25">
      <c r="A17" s="4" t="s">
        <v>23</v>
      </c>
      <c r="B17" s="4">
        <v>1.77</v>
      </c>
      <c r="C17" s="3">
        <v>-0.91</v>
      </c>
      <c r="D17" s="7">
        <f t="shared" si="0"/>
        <v>-1.6107E-2</v>
      </c>
    </row>
    <row r="18" spans="1:4" x14ac:dyDescent="0.25">
      <c r="A18" s="4" t="s">
        <v>72</v>
      </c>
      <c r="B18" s="4">
        <v>1.53</v>
      </c>
      <c r="C18" s="3">
        <v>-2.0226537216828402</v>
      </c>
      <c r="D18" s="7">
        <f t="shared" si="0"/>
        <v>-3.0946601941747455E-2</v>
      </c>
    </row>
    <row r="19" spans="1:4" x14ac:dyDescent="0.25">
      <c r="A19" s="4" t="s">
        <v>25</v>
      </c>
      <c r="B19" s="4">
        <v>1.51</v>
      </c>
      <c r="C19" s="3">
        <v>0.36</v>
      </c>
      <c r="D19" s="7">
        <f t="shared" si="0"/>
        <v>5.4359999999999999E-3</v>
      </c>
    </row>
    <row r="20" spans="1:4" x14ac:dyDescent="0.25">
      <c r="A20" s="4" t="s">
        <v>73</v>
      </c>
      <c r="B20" s="4">
        <v>1.44</v>
      </c>
      <c r="C20" s="3">
        <v>-1.82</v>
      </c>
      <c r="D20" s="7">
        <f t="shared" si="0"/>
        <v>-2.6207999999999999E-2</v>
      </c>
    </row>
    <row r="21" spans="1:4" x14ac:dyDescent="0.25">
      <c r="A21" s="4" t="s">
        <v>74</v>
      </c>
      <c r="B21" s="4">
        <v>1.44</v>
      </c>
      <c r="C21" s="3">
        <v>2.7204030226700202</v>
      </c>
      <c r="D21" s="7">
        <f t="shared" si="0"/>
        <v>3.9173803526448288E-2</v>
      </c>
    </row>
    <row r="22" spans="1:4" x14ac:dyDescent="0.25">
      <c r="A22" s="4" t="s">
        <v>24</v>
      </c>
      <c r="B22" s="4">
        <v>1.43</v>
      </c>
      <c r="C22" s="27">
        <v>-6.0773480662983399</v>
      </c>
      <c r="D22" s="7">
        <f t="shared" si="0"/>
        <v>-8.6906077348066268E-2</v>
      </c>
    </row>
    <row r="23" spans="1:4" x14ac:dyDescent="0.25">
      <c r="A23" s="4" t="s">
        <v>27</v>
      </c>
      <c r="B23" s="26">
        <v>1.42</v>
      </c>
      <c r="C23" s="27">
        <v>-0.89020771513353103</v>
      </c>
      <c r="D23" s="7">
        <f t="shared" si="0"/>
        <v>-1.264094955489614E-2</v>
      </c>
    </row>
    <row r="24" spans="1:4" x14ac:dyDescent="0.25">
      <c r="A24" s="4" t="s">
        <v>19</v>
      </c>
      <c r="B24" s="26">
        <v>1.4</v>
      </c>
      <c r="C24" s="27">
        <v>-0.38885288399222201</v>
      </c>
      <c r="D24" s="7">
        <f t="shared" si="0"/>
        <v>-5.4439403758911077E-3</v>
      </c>
    </row>
    <row r="25" spans="1:4" x14ac:dyDescent="0.25">
      <c r="A25" s="4" t="s">
        <v>26</v>
      </c>
      <c r="B25" s="26">
        <v>1.33</v>
      </c>
      <c r="C25" s="27">
        <v>4.76</v>
      </c>
      <c r="D25" s="7">
        <f t="shared" si="0"/>
        <v>6.3308000000000003E-2</v>
      </c>
    </row>
    <row r="26" spans="1:4" x14ac:dyDescent="0.25">
      <c r="A26" s="4" t="s">
        <v>75</v>
      </c>
      <c r="B26" s="26">
        <v>1.25</v>
      </c>
      <c r="C26" s="27">
        <v>0.19029495718363401</v>
      </c>
      <c r="D26" s="7">
        <f t="shared" si="0"/>
        <v>2.3786869647954251E-3</v>
      </c>
    </row>
    <row r="27" spans="1:4" x14ac:dyDescent="0.25">
      <c r="A27" s="4" t="s">
        <v>21</v>
      </c>
      <c r="B27" s="26">
        <v>1.17</v>
      </c>
      <c r="C27" s="27">
        <v>-1.66</v>
      </c>
      <c r="D27" s="7">
        <f t="shared" si="0"/>
        <v>-1.9421999999999998E-2</v>
      </c>
    </row>
    <row r="28" spans="1:4" x14ac:dyDescent="0.25">
      <c r="A28" s="4" t="s">
        <v>76</v>
      </c>
      <c r="B28" s="26">
        <v>1.04</v>
      </c>
      <c r="C28" s="27">
        <v>0.57999999999999996</v>
      </c>
      <c r="D28" s="7">
        <f t="shared" si="0"/>
        <v>6.0319999999999992E-3</v>
      </c>
    </row>
    <row r="29" spans="1:4" x14ac:dyDescent="0.25">
      <c r="A29" s="4" t="s">
        <v>77</v>
      </c>
      <c r="B29" s="26">
        <v>0.9</v>
      </c>
      <c r="C29" s="27">
        <v>4.6100000000000003</v>
      </c>
      <c r="D29" s="7">
        <f t="shared" si="0"/>
        <v>4.1489999999999999E-2</v>
      </c>
    </row>
    <row r="30" spans="1:4" x14ac:dyDescent="0.25">
      <c r="A30" s="4" t="s">
        <v>78</v>
      </c>
      <c r="B30" s="26">
        <v>0.84</v>
      </c>
      <c r="C30" s="27">
        <v>-0.81669691470054395</v>
      </c>
      <c r="D30" s="7">
        <f t="shared" si="0"/>
        <v>-6.8602540834845696E-3</v>
      </c>
    </row>
    <row r="31" spans="1:4" x14ac:dyDescent="0.25">
      <c r="A31" s="4" t="s">
        <v>58</v>
      </c>
      <c r="B31" s="26">
        <v>0.82</v>
      </c>
      <c r="C31" s="27">
        <v>-0.31496062992125901</v>
      </c>
      <c r="D31" s="7">
        <f t="shared" si="0"/>
        <v>-2.5826771653543234E-3</v>
      </c>
    </row>
    <row r="32" spans="1:4" x14ac:dyDescent="0.25">
      <c r="A32" s="4" t="s">
        <v>29</v>
      </c>
      <c r="B32" s="26">
        <v>0.8</v>
      </c>
      <c r="C32" s="27">
        <v>0.76</v>
      </c>
      <c r="D32" s="7">
        <f t="shared" si="0"/>
        <v>6.0800000000000012E-3</v>
      </c>
    </row>
    <row r="33" spans="1:4" x14ac:dyDescent="0.25">
      <c r="A33" s="4" t="s">
        <v>79</v>
      </c>
      <c r="B33" s="26">
        <v>0.79</v>
      </c>
      <c r="C33" s="27">
        <v>-1.19981541301338</v>
      </c>
      <c r="D33" s="7">
        <f t="shared" si="0"/>
        <v>-9.4785417628057023E-3</v>
      </c>
    </row>
    <row r="34" spans="1:4" x14ac:dyDescent="0.25">
      <c r="A34" s="4" t="s">
        <v>49</v>
      </c>
      <c r="B34" s="26">
        <v>0.76</v>
      </c>
      <c r="C34" s="27">
        <v>0.53475935828876997</v>
      </c>
      <c r="D34" s="7">
        <f t="shared" si="0"/>
        <v>4.0641711229946519E-3</v>
      </c>
    </row>
    <row r="35" spans="1:4" x14ac:dyDescent="0.25">
      <c r="A35" s="4" t="s">
        <v>22</v>
      </c>
      <c r="B35" s="26">
        <v>0.73</v>
      </c>
      <c r="C35" s="27">
        <v>0.78</v>
      </c>
      <c r="D35" s="7">
        <f t="shared" si="0"/>
        <v>5.6940000000000003E-3</v>
      </c>
    </row>
    <row r="36" spans="1:4" x14ac:dyDescent="0.25">
      <c r="A36" s="4" t="s">
        <v>80</v>
      </c>
      <c r="B36" s="26">
        <v>0.72</v>
      </c>
      <c r="C36" s="27">
        <v>0.61</v>
      </c>
      <c r="D36" s="7">
        <f t="shared" si="0"/>
        <v>4.3920000000000001E-3</v>
      </c>
    </row>
    <row r="37" spans="1:4" x14ac:dyDescent="0.25">
      <c r="A37" s="4" t="s">
        <v>81</v>
      </c>
      <c r="B37" s="26">
        <v>0.71</v>
      </c>
      <c r="C37" s="27">
        <v>0.84</v>
      </c>
      <c r="D37" s="7">
        <f t="shared" si="0"/>
        <v>5.9639999999999997E-3</v>
      </c>
    </row>
    <row r="38" spans="1:4" x14ac:dyDescent="0.25">
      <c r="A38" s="4" t="s">
        <v>82</v>
      </c>
      <c r="B38" s="26">
        <v>0.7</v>
      </c>
      <c r="C38" s="27">
        <v>0.1</v>
      </c>
      <c r="D38" s="7">
        <f t="shared" si="0"/>
        <v>6.9999999999999988E-4</v>
      </c>
    </row>
    <row r="39" spans="1:4" x14ac:dyDescent="0.25">
      <c r="A39" s="4" t="s">
        <v>83</v>
      </c>
      <c r="B39" s="26">
        <v>0.7</v>
      </c>
      <c r="C39" s="27">
        <v>0.97</v>
      </c>
      <c r="D39" s="7">
        <f t="shared" si="0"/>
        <v>6.7899999999999992E-3</v>
      </c>
    </row>
    <row r="40" spans="1:4" x14ac:dyDescent="0.25">
      <c r="A40" s="4" t="s">
        <v>84</v>
      </c>
      <c r="B40" s="26">
        <v>0.64</v>
      </c>
      <c r="C40" s="27">
        <v>0.11</v>
      </c>
      <c r="D40" s="7">
        <f t="shared" si="0"/>
        <v>7.0400000000000009E-4</v>
      </c>
    </row>
    <row r="41" spans="1:4" x14ac:dyDescent="0.25">
      <c r="A41" s="4" t="s">
        <v>85</v>
      </c>
      <c r="B41" s="26">
        <v>0.63</v>
      </c>
      <c r="C41" s="27">
        <v>4.43</v>
      </c>
      <c r="D41" s="7">
        <f t="shared" si="0"/>
        <v>2.7908999999999996E-2</v>
      </c>
    </row>
    <row r="42" spans="1:4" x14ac:dyDescent="0.25">
      <c r="A42" s="4" t="s">
        <v>86</v>
      </c>
      <c r="B42" s="26">
        <v>0.61</v>
      </c>
      <c r="C42" s="27">
        <v>1.82</v>
      </c>
      <c r="D42" s="7">
        <f t="shared" si="0"/>
        <v>1.1102000000000001E-2</v>
      </c>
    </row>
    <row r="43" spans="1:4" x14ac:dyDescent="0.25">
      <c r="A43" s="4" t="s">
        <v>87</v>
      </c>
      <c r="B43" s="26">
        <v>0.56999999999999995</v>
      </c>
      <c r="C43" s="27">
        <v>-0.05</v>
      </c>
      <c r="D43" s="7">
        <f t="shared" si="0"/>
        <v>-2.8499999999999999E-4</v>
      </c>
    </row>
    <row r="44" spans="1:4" x14ac:dyDescent="0.25">
      <c r="A44" s="4" t="s">
        <v>88</v>
      </c>
      <c r="B44" s="26">
        <v>0.55000000000000004</v>
      </c>
      <c r="C44" s="27">
        <v>-1.91</v>
      </c>
      <c r="D44" s="7">
        <f t="shared" si="0"/>
        <v>-1.0505E-2</v>
      </c>
    </row>
    <row r="45" spans="1:4" x14ac:dyDescent="0.25">
      <c r="A45" s="4" t="s">
        <v>89</v>
      </c>
      <c r="B45" s="26">
        <v>0.5</v>
      </c>
      <c r="C45" s="27">
        <v>1.41</v>
      </c>
      <c r="D45" s="7">
        <f t="shared" si="0"/>
        <v>7.0499999999999998E-3</v>
      </c>
    </row>
    <row r="46" spans="1:4" x14ac:dyDescent="0.25">
      <c r="A46" s="4" t="s">
        <v>90</v>
      </c>
      <c r="B46" s="26">
        <v>0.5</v>
      </c>
      <c r="C46" s="27">
        <v>0.32</v>
      </c>
      <c r="D46" s="7">
        <f t="shared" si="0"/>
        <v>1.6000000000000001E-3</v>
      </c>
    </row>
    <row r="47" spans="1:4" x14ac:dyDescent="0.25">
      <c r="A47" s="4" t="s">
        <v>91</v>
      </c>
      <c r="B47" s="26">
        <v>0.45</v>
      </c>
      <c r="C47" s="27">
        <v>5.47</v>
      </c>
      <c r="D47" s="7">
        <f t="shared" si="0"/>
        <v>2.4615000000000001E-2</v>
      </c>
    </row>
    <row r="48" spans="1:4" x14ac:dyDescent="0.25">
      <c r="A48" s="4" t="s">
        <v>92</v>
      </c>
      <c r="B48" s="26">
        <v>0.4</v>
      </c>
      <c r="C48" s="27">
        <v>2.52</v>
      </c>
      <c r="D48" s="7">
        <f t="shared" si="0"/>
        <v>1.008E-2</v>
      </c>
    </row>
    <row r="49" spans="1:6" x14ac:dyDescent="0.25">
      <c r="A49" s="4" t="s">
        <v>93</v>
      </c>
      <c r="B49" s="26">
        <v>0.33</v>
      </c>
      <c r="C49" s="27">
        <v>-0.17</v>
      </c>
      <c r="D49" s="7">
        <f t="shared" si="0"/>
        <v>-5.6100000000000008E-4</v>
      </c>
    </row>
    <row r="50" spans="1:6" x14ac:dyDescent="0.25">
      <c r="A50" s="4" t="s">
        <v>94</v>
      </c>
      <c r="B50" s="26">
        <v>0.16</v>
      </c>
      <c r="C50" s="27">
        <v>-0.17</v>
      </c>
      <c r="D50" s="7">
        <f t="shared" si="0"/>
        <v>-2.72E-4</v>
      </c>
    </row>
    <row r="51" spans="1:6" x14ac:dyDescent="0.25">
      <c r="A51" s="16" t="s">
        <v>63</v>
      </c>
      <c r="B51" s="5">
        <f>SUM(B2:B50)</f>
        <v>99.950000000000031</v>
      </c>
      <c r="C51" s="5"/>
      <c r="D51" s="6">
        <f>SUM(D2:D50)</f>
        <v>-6.5924462259540845E-3</v>
      </c>
    </row>
    <row r="62" spans="1:6" x14ac:dyDescent="0.25">
      <c r="A62" s="5" t="s">
        <v>68</v>
      </c>
      <c r="B62" s="30" t="s">
        <v>52</v>
      </c>
      <c r="C62" s="30"/>
      <c r="D62" s="20" t="s">
        <v>53</v>
      </c>
      <c r="E62" s="5" t="s">
        <v>67</v>
      </c>
      <c r="F62" s="5" t="s">
        <v>69</v>
      </c>
    </row>
    <row r="63" spans="1:6" x14ac:dyDescent="0.25">
      <c r="A63" s="23">
        <v>46226</v>
      </c>
      <c r="B63" s="29">
        <v>18186</v>
      </c>
      <c r="C63" s="29"/>
      <c r="D63" s="21">
        <v>1825486354</v>
      </c>
      <c r="E63" s="21">
        <v>49785912</v>
      </c>
      <c r="F63" s="24">
        <v>4.7000000000000002E-3</v>
      </c>
    </row>
    <row r="64" spans="1:6" x14ac:dyDescent="0.25">
      <c r="A64" s="23">
        <v>46227</v>
      </c>
      <c r="B64" s="29">
        <v>18753</v>
      </c>
      <c r="C64" s="29"/>
      <c r="D64" s="21">
        <v>1898338108</v>
      </c>
      <c r="E64" s="21">
        <v>79391973</v>
      </c>
      <c r="F64" s="24">
        <v>-3.5999999999999999E-3</v>
      </c>
    </row>
    <row r="65" spans="1:6" x14ac:dyDescent="0.25">
      <c r="A65" s="23">
        <v>46230</v>
      </c>
      <c r="B65" s="29">
        <v>19293</v>
      </c>
      <c r="C65" s="29"/>
      <c r="D65" s="21">
        <v>2016158831</v>
      </c>
      <c r="E65" s="21">
        <v>115257058</v>
      </c>
      <c r="F65" s="24">
        <v>1.4E-3</v>
      </c>
    </row>
    <row r="66" spans="1:6" x14ac:dyDescent="0.25">
      <c r="A66" s="23">
        <v>46231</v>
      </c>
      <c r="B66" s="29">
        <v>19624</v>
      </c>
      <c r="C66" s="29"/>
      <c r="D66" s="21">
        <v>2053257616</v>
      </c>
      <c r="E66" s="21">
        <v>37759305</v>
      </c>
      <c r="F66" s="24">
        <v>-2.9999999999999997E-4</v>
      </c>
    </row>
    <row r="67" spans="1:6" x14ac:dyDescent="0.25">
      <c r="A67" s="23">
        <v>46232</v>
      </c>
      <c r="B67" s="29">
        <v>20120</v>
      </c>
      <c r="C67" s="29"/>
      <c r="D67" s="21">
        <v>2073450735</v>
      </c>
      <c r="E67" s="21">
        <v>45076881</v>
      </c>
      <c r="F67" s="24">
        <v>-1.21E-2</v>
      </c>
    </row>
    <row r="68" spans="1:6" x14ac:dyDescent="0.25">
      <c r="A68" s="23">
        <v>46233</v>
      </c>
      <c r="B68" s="29">
        <v>20320</v>
      </c>
      <c r="C68" s="29"/>
      <c r="D68" s="21">
        <v>2050352793</v>
      </c>
      <c r="E68" s="21">
        <v>-24388706</v>
      </c>
      <c r="F68" s="24">
        <v>5.9999999999999995E-4</v>
      </c>
    </row>
    <row r="69" spans="1:6" x14ac:dyDescent="0.25">
      <c r="A69" s="23">
        <v>46234</v>
      </c>
      <c r="B69" s="29">
        <v>20380</v>
      </c>
      <c r="C69" s="29"/>
      <c r="D69" s="21">
        <v>1988789335</v>
      </c>
      <c r="E69" s="21">
        <v>-68771429</v>
      </c>
      <c r="F69" s="24">
        <v>3.5000000000000001E-3</v>
      </c>
    </row>
    <row r="70" spans="1:6" x14ac:dyDescent="0.25">
      <c r="A70" s="23">
        <v>46237</v>
      </c>
      <c r="B70" s="29">
        <v>20094</v>
      </c>
      <c r="C70" s="29"/>
      <c r="D70" s="21">
        <v>1984485111</v>
      </c>
      <c r="E70" s="21">
        <v>-13488765</v>
      </c>
      <c r="F70" s="24">
        <v>4.5999999999999999E-3</v>
      </c>
    </row>
    <row r="71" spans="1:6" x14ac:dyDescent="0.25">
      <c r="A71" s="23">
        <v>46238</v>
      </c>
      <c r="B71" s="29">
        <v>20026</v>
      </c>
      <c r="C71" s="29"/>
      <c r="D71" s="21">
        <v>1998771298</v>
      </c>
      <c r="E71" s="21">
        <v>5725163</v>
      </c>
      <c r="F71" s="24">
        <v>4.3E-3</v>
      </c>
    </row>
    <row r="72" spans="1:6" x14ac:dyDescent="0.25">
      <c r="A72" s="23">
        <v>46239</v>
      </c>
      <c r="B72" s="29">
        <v>20393</v>
      </c>
      <c r="C72" s="29"/>
      <c r="D72" s="21">
        <v>2081639950</v>
      </c>
      <c r="E72" s="21">
        <v>54568901</v>
      </c>
      <c r="F72" s="24">
        <v>1.4200000000000001E-2</v>
      </c>
    </row>
    <row r="73" spans="1:6" x14ac:dyDescent="0.25">
      <c r="A73" s="23">
        <v>46240</v>
      </c>
      <c r="B73" s="29">
        <v>20807</v>
      </c>
      <c r="C73" s="29"/>
      <c r="D73" s="21">
        <v>2244184283</v>
      </c>
      <c r="E73" s="21">
        <v>134383884</v>
      </c>
      <c r="F73" s="24">
        <v>1.35E-2</v>
      </c>
    </row>
    <row r="74" spans="1:6" x14ac:dyDescent="0.25">
      <c r="A74" s="23">
        <v>46241</v>
      </c>
      <c r="B74" s="29">
        <v>21724</v>
      </c>
      <c r="C74" s="29"/>
      <c r="D74" s="21">
        <v>2555268873</v>
      </c>
      <c r="E74" s="21">
        <v>295774874</v>
      </c>
      <c r="F74" s="24">
        <v>6.7999999999999996E-3</v>
      </c>
    </row>
    <row r="75" spans="1:6" x14ac:dyDescent="0.25">
      <c r="A75" s="23">
        <v>46244</v>
      </c>
      <c r="B75" s="29">
        <v>22925</v>
      </c>
      <c r="C75" s="29"/>
      <c r="D75" s="21">
        <v>2826840748</v>
      </c>
      <c r="E75" s="21">
        <v>254561602</v>
      </c>
      <c r="F75" s="24">
        <v>2.8E-3</v>
      </c>
    </row>
    <row r="76" spans="1:6" x14ac:dyDescent="0.25">
      <c r="F76" s="24"/>
    </row>
    <row r="77" spans="1:6" x14ac:dyDescent="0.25">
      <c r="F77" s="24"/>
    </row>
    <row r="78" spans="1:6" x14ac:dyDescent="0.25">
      <c r="F78" s="24"/>
    </row>
    <row r="79" spans="1:6" x14ac:dyDescent="0.25">
      <c r="F79" s="24"/>
    </row>
    <row r="80" spans="1:6" x14ac:dyDescent="0.25">
      <c r="F80" s="24"/>
    </row>
  </sheetData>
  <mergeCells count="14">
    <mergeCell ref="B75:C75"/>
    <mergeCell ref="B74:C74"/>
    <mergeCell ref="B67:C67"/>
    <mergeCell ref="B73:C73"/>
    <mergeCell ref="B62:C62"/>
    <mergeCell ref="B63:C63"/>
    <mergeCell ref="B64:C64"/>
    <mergeCell ref="B65:C65"/>
    <mergeCell ref="B66:C66"/>
    <mergeCell ref="B72:C72"/>
    <mergeCell ref="B71:C71"/>
    <mergeCell ref="B70:C70"/>
    <mergeCell ref="B68:C68"/>
    <mergeCell ref="B69:C6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TLY</vt:lpstr>
      <vt:lpstr>PHE</vt:lpstr>
      <vt:lpstr>PBR</vt:lpstr>
      <vt:lpstr>DFI</vt:lpstr>
      <vt:lpstr>KHA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2026-08-10T15:13:35Z</dcterms:modified>
</cp:coreProperties>
</file>