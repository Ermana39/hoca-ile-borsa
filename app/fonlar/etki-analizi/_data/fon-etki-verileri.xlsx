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FF41E539-8C54-4D48-9EC7-601A833D5A1F}" xr6:coauthVersionLast="47" xr6:coauthVersionMax="47" xr10:uidLastSave="{00000000-0000-0000-0000-000000000000}"/>
  <bookViews>
    <workbookView xWindow="-36090" yWindow="390" windowWidth="15630" windowHeight="2038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1" i="1"/>
  <c r="D10" i="1"/>
  <c r="D9" i="1"/>
  <c r="D8" i="1"/>
  <c r="D7" i="1"/>
  <c r="D6" i="1"/>
  <c r="D5" i="1"/>
  <c r="D3" i="1"/>
  <c r="D12" i="1"/>
  <c r="D4" i="1"/>
  <c r="D2" i="1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<sst xmlns="http://schemas.openxmlformats.org/spreadsheetml/2006/main" count="151" uniqueCount="76">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</sst>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G41" sqref="G41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-0.93663911845729997</v>
      </c>
      <c r="D2" s="7">
        <f>B2*C2/100</f>
        <v>-0.21402203856749305</v>
      </c>
    </row>
    <row r="3" spans="1:4" x14ac:dyDescent="0.25">
      <c r="A3" s="4" t="s">
        <v>1</v>
      </c>
      <c r="B3" s="4">
        <v>14.3</v>
      </c>
      <c r="C3" s="3">
        <v>3.3310673011556702</v>
      </c>
      <c r="D3" s="7">
        <f>B3*C3/100</f>
        <v>0.47634262406526084</v>
      </c>
    </row>
    <row r="4" spans="1:4" x14ac:dyDescent="0.25">
      <c r="A4" s="4" t="s">
        <v>3</v>
      </c>
      <c r="B4" s="4">
        <v>7.73</v>
      </c>
      <c r="C4" s="3">
        <v>0.13623978201634801</v>
      </c>
      <c r="D4" s="7">
        <f t="shared" ref="D4:D15" si="0">B4*C4/100</f>
        <v>1.0531335149863701E-2</v>
      </c>
    </row>
    <row r="5" spans="1:4" x14ac:dyDescent="0.25">
      <c r="A5" s="4" t="s">
        <v>5</v>
      </c>
      <c r="B5" s="4">
        <v>7.14</v>
      </c>
      <c r="C5" s="3">
        <v>2.8482421005785401</v>
      </c>
      <c r="D5" s="7">
        <f t="shared" si="0"/>
        <v>0.20336448598130777</v>
      </c>
    </row>
    <row r="6" spans="1:4" x14ac:dyDescent="0.25">
      <c r="A6" s="4" t="s">
        <v>2</v>
      </c>
      <c r="B6" s="4">
        <v>6.63</v>
      </c>
      <c r="C6" s="3">
        <v>2.3423423423423402</v>
      </c>
      <c r="D6" s="7">
        <f t="shared" si="0"/>
        <v>0.15529729729729713</v>
      </c>
    </row>
    <row r="7" spans="1:4" x14ac:dyDescent="0.25">
      <c r="A7" s="4" t="s">
        <v>4</v>
      </c>
      <c r="B7" s="4">
        <v>5.61</v>
      </c>
      <c r="C7" s="3">
        <v>-1.09375</v>
      </c>
      <c r="D7" s="7">
        <f t="shared" si="0"/>
        <v>-6.1359375000000008E-2</v>
      </c>
    </row>
    <row r="8" spans="1:4" x14ac:dyDescent="0.25">
      <c r="A8" s="4" t="s">
        <v>6</v>
      </c>
      <c r="B8" s="4">
        <v>1.99</v>
      </c>
      <c r="C8" s="3">
        <v>-2.40066225165562</v>
      </c>
      <c r="D8" s="7">
        <f t="shared" si="0"/>
        <v>-4.7773178807946834E-2</v>
      </c>
    </row>
    <row r="9" spans="1:4" x14ac:dyDescent="0.25">
      <c r="A9" s="4" t="s">
        <v>49</v>
      </c>
      <c r="B9" s="4">
        <v>1.04</v>
      </c>
      <c r="C9" s="3">
        <v>-2.5385312783318201</v>
      </c>
      <c r="D9" s="7">
        <f t="shared" si="0"/>
        <v>-2.6400725294650932E-2</v>
      </c>
    </row>
    <row r="10" spans="1:4" x14ac:dyDescent="0.25">
      <c r="A10" s="4" t="s">
        <v>7</v>
      </c>
      <c r="B10" s="4">
        <v>0.54</v>
      </c>
      <c r="C10" s="3">
        <v>0.50761421319796896</v>
      </c>
      <c r="D10" s="7">
        <f t="shared" si="0"/>
        <v>2.7411167512690327E-3</v>
      </c>
    </row>
    <row r="11" spans="1:4" x14ac:dyDescent="0.25">
      <c r="A11" s="4" t="s">
        <v>8</v>
      </c>
      <c r="B11" s="4">
        <v>0.52</v>
      </c>
      <c r="C11" s="3">
        <v>2.9179810725551998</v>
      </c>
      <c r="D11" s="7">
        <f t="shared" si="0"/>
        <v>1.5173501577287038E-2</v>
      </c>
    </row>
    <row r="12" spans="1:4" x14ac:dyDescent="0.25">
      <c r="A12" s="4" t="s">
        <v>9</v>
      </c>
      <c r="B12" s="4">
        <v>0.27</v>
      </c>
      <c r="C12" s="3">
        <v>7.9545454545454497</v>
      </c>
      <c r="D12" s="7">
        <f t="shared" si="0"/>
        <v>2.1477272727272716E-2</v>
      </c>
    </row>
    <row r="13" spans="1:4" x14ac:dyDescent="0.25">
      <c r="A13" s="4" t="s">
        <v>50</v>
      </c>
      <c r="B13" s="4">
        <v>0.14000000000000001</v>
      </c>
      <c r="C13" s="3">
        <v>-0.295639320029563</v>
      </c>
      <c r="D13" s="7">
        <f t="shared" si="0"/>
        <v>-4.1389504804138826E-4</v>
      </c>
    </row>
    <row r="14" spans="1:4" x14ac:dyDescent="0.25">
      <c r="A14" s="4" t="s">
        <v>27</v>
      </c>
      <c r="B14" s="4">
        <v>7.0000000000000007E-2</v>
      </c>
      <c r="C14" s="3">
        <v>-4.2669584245076502</v>
      </c>
      <c r="D14" s="7">
        <f t="shared" si="0"/>
        <v>-2.9868708971553552E-3</v>
      </c>
    </row>
    <row r="15" spans="1:4" x14ac:dyDescent="0.25">
      <c r="A15" s="4" t="s">
        <v>51</v>
      </c>
      <c r="B15" s="4">
        <v>1.27</v>
      </c>
      <c r="C15" s="3">
        <v>2.2599999999999998</v>
      </c>
      <c r="D15" s="7">
        <f t="shared" si="0"/>
        <v>2.8701999999999995E-2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0.56067354993427077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6"/>
      <c r="B29" s="26"/>
      <c r="C29" s="4"/>
      <c r="D29" s="4"/>
      <c r="E29" s="17"/>
    </row>
    <row r="30" spans="1:6" x14ac:dyDescent="0.25">
      <c r="A30" s="26"/>
      <c r="B30" s="26"/>
      <c r="C30" s="9"/>
      <c r="D30" s="19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6">
        <v>98970</v>
      </c>
      <c r="C32" s="26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6">
        <v>99051</v>
      </c>
      <c r="C33" s="26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6">
        <v>98455</v>
      </c>
      <c r="C34" s="26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6">
        <v>98583</v>
      </c>
      <c r="C35" s="26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6">
        <v>98915</v>
      </c>
      <c r="C36" s="26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6">
        <v>97411</v>
      </c>
      <c r="C37" s="26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6">
        <v>97269</v>
      </c>
      <c r="C38" s="26"/>
      <c r="D38" s="25">
        <v>223121593370</v>
      </c>
      <c r="E38" s="22">
        <v>-3172256453</v>
      </c>
      <c r="F38" s="24">
        <v>1.11E-2</v>
      </c>
    </row>
    <row r="39" spans="1:6" x14ac:dyDescent="0.25">
      <c r="F39" s="24"/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0"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19" workbookViewId="0">
      <selection activeCell="G66" sqref="G6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0.57692307692307698</v>
      </c>
      <c r="D2" s="4">
        <f>B2*C2/100</f>
        <v>5.1461538461538468E-2</v>
      </c>
    </row>
    <row r="3" spans="1:4" x14ac:dyDescent="0.25">
      <c r="A3" s="4" t="s">
        <v>14</v>
      </c>
      <c r="B3" s="4">
        <v>8.81</v>
      </c>
      <c r="C3" s="14">
        <v>-7.7290836653386403</v>
      </c>
      <c r="D3" s="4">
        <f t="shared" ref="D3:D43" si="0">B3*C3/100</f>
        <v>-0.68093227091633424</v>
      </c>
    </row>
    <row r="4" spans="1:4" x14ac:dyDescent="0.25">
      <c r="A4" s="4" t="s">
        <v>12</v>
      </c>
      <c r="B4" s="4">
        <v>8.2799999999999994</v>
      </c>
      <c r="C4" s="14">
        <v>-9.9953073674331296</v>
      </c>
      <c r="D4" s="4">
        <f t="shared" si="0"/>
        <v>-0.82761145002346315</v>
      </c>
    </row>
    <row r="5" spans="1:4" x14ac:dyDescent="0.25">
      <c r="A5" s="4" t="s">
        <v>15</v>
      </c>
      <c r="B5" s="4">
        <v>6.17</v>
      </c>
      <c r="C5" s="14">
        <v>7.9136690647482002</v>
      </c>
      <c r="D5" s="4">
        <f t="shared" si="0"/>
        <v>0.48827338129496395</v>
      </c>
    </row>
    <row r="6" spans="1:4" x14ac:dyDescent="0.25">
      <c r="A6" s="4" t="s">
        <v>9</v>
      </c>
      <c r="B6" s="4">
        <v>4.75</v>
      </c>
      <c r="C6" s="14">
        <v>7.9545454545454497</v>
      </c>
      <c r="D6" s="4">
        <f t="shared" si="0"/>
        <v>0.37784090909090884</v>
      </c>
    </row>
    <row r="7" spans="1:4" x14ac:dyDescent="0.25">
      <c r="A7" s="4" t="s">
        <v>16</v>
      </c>
      <c r="B7" s="4">
        <v>4.42</v>
      </c>
      <c r="C7" s="14">
        <v>-1.5961691939345499</v>
      </c>
      <c r="D7" s="4">
        <f t="shared" si="0"/>
        <v>-7.0550678371907108E-2</v>
      </c>
    </row>
    <row r="8" spans="1:4" x14ac:dyDescent="0.25">
      <c r="A8" s="4" t="s">
        <v>19</v>
      </c>
      <c r="B8" s="4">
        <v>3.77</v>
      </c>
      <c r="C8" s="14">
        <v>-2.6856240126382298</v>
      </c>
      <c r="D8" s="4">
        <f t="shared" si="0"/>
        <v>-0.10124802527646126</v>
      </c>
    </row>
    <row r="9" spans="1:4" x14ac:dyDescent="0.25">
      <c r="A9" s="4" t="s">
        <v>18</v>
      </c>
      <c r="B9" s="4">
        <v>3.6</v>
      </c>
      <c r="C9" s="14">
        <v>4.5269352648257097</v>
      </c>
      <c r="D9" s="4">
        <f t="shared" si="0"/>
        <v>0.16296966953372558</v>
      </c>
    </row>
    <row r="10" spans="1:4" x14ac:dyDescent="0.25">
      <c r="A10" s="4" t="s">
        <v>20</v>
      </c>
      <c r="B10" s="4">
        <v>3.37</v>
      </c>
      <c r="C10" s="14">
        <v>-2.6381909547738598</v>
      </c>
      <c r="D10" s="4">
        <f t="shared" si="0"/>
        <v>-8.8907035175879071E-2</v>
      </c>
    </row>
    <row r="11" spans="1:4" x14ac:dyDescent="0.25">
      <c r="A11" s="4" t="s">
        <v>55</v>
      </c>
      <c r="B11" s="4">
        <v>2.68</v>
      </c>
      <c r="C11" s="14">
        <v>7.0175438596491198</v>
      </c>
      <c r="D11" s="4">
        <f t="shared" si="0"/>
        <v>0.18807017543859644</v>
      </c>
    </row>
    <row r="12" spans="1:4" x14ac:dyDescent="0.25">
      <c r="A12" s="4" t="s">
        <v>0</v>
      </c>
      <c r="B12" s="4">
        <v>2.58</v>
      </c>
      <c r="C12" s="14">
        <v>-0.93663911845729997</v>
      </c>
      <c r="D12" s="4">
        <f t="shared" si="0"/>
        <v>-2.416528925619834E-2</v>
      </c>
    </row>
    <row r="13" spans="1:4" x14ac:dyDescent="0.25">
      <c r="A13" s="4" t="s">
        <v>25</v>
      </c>
      <c r="B13" s="4">
        <v>2.4500000000000002</v>
      </c>
      <c r="C13" s="14">
        <v>-2.1951219512195101</v>
      </c>
      <c r="D13" s="4">
        <f t="shared" si="0"/>
        <v>-5.3780487804878006E-2</v>
      </c>
    </row>
    <row r="14" spans="1:4" x14ac:dyDescent="0.25">
      <c r="A14" s="4" t="s">
        <v>6</v>
      </c>
      <c r="B14" s="4">
        <v>2.0499999999999998</v>
      </c>
      <c r="C14" s="14">
        <v>-2.40066225165562</v>
      </c>
      <c r="D14" s="4">
        <f t="shared" si="0"/>
        <v>-4.9213576158940203E-2</v>
      </c>
    </row>
    <row r="15" spans="1:4" x14ac:dyDescent="0.25">
      <c r="A15" s="4" t="s">
        <v>17</v>
      </c>
      <c r="B15" s="4">
        <v>1.73</v>
      </c>
      <c r="C15" s="14">
        <v>-0.88</v>
      </c>
      <c r="D15" s="4">
        <f t="shared" si="0"/>
        <v>-1.5224E-2</v>
      </c>
    </row>
    <row r="16" spans="1:4" x14ac:dyDescent="0.25">
      <c r="A16" s="4" t="s">
        <v>22</v>
      </c>
      <c r="B16" s="4">
        <v>1.64</v>
      </c>
      <c r="C16" s="14">
        <v>-0.87509944311853605</v>
      </c>
      <c r="D16" s="4">
        <f t="shared" si="0"/>
        <v>-1.4351630867143989E-2</v>
      </c>
    </row>
    <row r="17" spans="1:4" x14ac:dyDescent="0.25">
      <c r="A17" s="4" t="s">
        <v>23</v>
      </c>
      <c r="B17" s="4">
        <v>1.62</v>
      </c>
      <c r="C17" s="14">
        <v>-2.9481132075471699</v>
      </c>
      <c r="D17" s="4">
        <f t="shared" si="0"/>
        <v>-4.7759433962264161E-2</v>
      </c>
    </row>
    <row r="18" spans="1:4" x14ac:dyDescent="0.25">
      <c r="A18" s="4" t="s">
        <v>26</v>
      </c>
      <c r="B18" s="4">
        <v>1.48</v>
      </c>
      <c r="C18" s="14">
        <v>-0.90556274256144897</v>
      </c>
      <c r="D18" s="4">
        <f t="shared" si="0"/>
        <v>-1.3402328589909444E-2</v>
      </c>
    </row>
    <row r="19" spans="1:4" x14ac:dyDescent="0.25">
      <c r="A19" s="4" t="s">
        <v>21</v>
      </c>
      <c r="B19" s="4">
        <v>1.4</v>
      </c>
      <c r="C19" s="14">
        <v>9.8619329388560106E-2</v>
      </c>
      <c r="D19" s="4">
        <f t="shared" si="0"/>
        <v>1.3806706114398415E-3</v>
      </c>
    </row>
    <row r="20" spans="1:4" x14ac:dyDescent="0.25">
      <c r="A20" s="4" t="s">
        <v>24</v>
      </c>
      <c r="B20" s="4">
        <v>1.3</v>
      </c>
      <c r="C20" s="14">
        <v>-1.0847107438016499</v>
      </c>
      <c r="D20" s="4">
        <f t="shared" si="0"/>
        <v>-1.4101239669421449E-2</v>
      </c>
    </row>
    <row r="21" spans="1:4" x14ac:dyDescent="0.25">
      <c r="A21" s="4" t="s">
        <v>28</v>
      </c>
      <c r="B21" s="4">
        <v>1.26</v>
      </c>
      <c r="C21" s="14">
        <v>-1.07317073170731</v>
      </c>
      <c r="D21" s="4">
        <f t="shared" si="0"/>
        <v>-1.3521951219512107E-2</v>
      </c>
    </row>
    <row r="22" spans="1:4" x14ac:dyDescent="0.25">
      <c r="A22" s="4" t="s">
        <v>29</v>
      </c>
      <c r="B22" s="4">
        <v>1.2</v>
      </c>
      <c r="C22" s="14">
        <v>-2.5336500395882799</v>
      </c>
      <c r="D22" s="4">
        <f t="shared" si="0"/>
        <v>-3.0403800475059358E-2</v>
      </c>
    </row>
    <row r="23" spans="1:4" x14ac:dyDescent="0.25">
      <c r="A23" s="4" t="s">
        <v>3</v>
      </c>
      <c r="B23" s="4">
        <v>0.73</v>
      </c>
      <c r="C23" s="14">
        <v>0.13623978201634801</v>
      </c>
      <c r="D23" s="4">
        <f t="shared" si="0"/>
        <v>9.9455040871934057E-4</v>
      </c>
    </row>
    <row r="24" spans="1:4" x14ac:dyDescent="0.25">
      <c r="A24" s="4" t="s">
        <v>33</v>
      </c>
      <c r="B24" s="4">
        <v>0.71</v>
      </c>
      <c r="C24" s="14">
        <v>-3.1901041666666599</v>
      </c>
      <c r="D24" s="4">
        <f t="shared" si="0"/>
        <v>-2.2649739583333287E-2</v>
      </c>
    </row>
    <row r="25" spans="1:4" x14ac:dyDescent="0.25">
      <c r="A25" s="4" t="s">
        <v>7</v>
      </c>
      <c r="B25" s="4">
        <v>0.59</v>
      </c>
      <c r="C25" s="8">
        <v>0.50761421319796896</v>
      </c>
      <c r="D25" s="4">
        <f t="shared" si="0"/>
        <v>2.9949238578680167E-3</v>
      </c>
    </row>
    <row r="26" spans="1:4" x14ac:dyDescent="0.25">
      <c r="A26" s="4" t="s">
        <v>27</v>
      </c>
      <c r="B26" s="4">
        <v>0.56000000000000005</v>
      </c>
      <c r="C26" s="8">
        <v>-4.2669584245076502</v>
      </c>
      <c r="D26" s="4">
        <f t="shared" si="0"/>
        <v>-2.3894967177242842E-2</v>
      </c>
    </row>
    <row r="27" spans="1:4" x14ac:dyDescent="0.25">
      <c r="A27" s="4" t="s">
        <v>39</v>
      </c>
      <c r="B27" s="4">
        <v>0.4</v>
      </c>
      <c r="C27" s="8">
        <v>-1.4925373134328299</v>
      </c>
      <c r="D27" s="4">
        <f t="shared" si="0"/>
        <v>-5.9701492537313191E-3</v>
      </c>
    </row>
    <row r="28" spans="1:4" x14ac:dyDescent="0.25">
      <c r="A28" s="4" t="s">
        <v>31</v>
      </c>
      <c r="B28" s="4">
        <v>0.39</v>
      </c>
      <c r="C28" s="8">
        <v>0.15487867836861099</v>
      </c>
      <c r="D28" s="4">
        <f t="shared" si="0"/>
        <v>6.0402684563758287E-4</v>
      </c>
    </row>
    <row r="29" spans="1:4" x14ac:dyDescent="0.25">
      <c r="A29" s="4" t="s">
        <v>30</v>
      </c>
      <c r="B29" s="4">
        <v>0.36</v>
      </c>
      <c r="C29" s="8">
        <v>-2.6270702455739499</v>
      </c>
      <c r="D29" s="4">
        <f t="shared" si="0"/>
        <v>-9.4574528840662194E-3</v>
      </c>
    </row>
    <row r="30" spans="1:4" x14ac:dyDescent="0.25">
      <c r="A30" s="4" t="s">
        <v>34</v>
      </c>
      <c r="B30" s="4">
        <v>0.34</v>
      </c>
      <c r="C30" s="8">
        <v>0.62015503875968903</v>
      </c>
      <c r="D30" s="4">
        <f t="shared" si="0"/>
        <v>2.1085271317829429E-3</v>
      </c>
    </row>
    <row r="31" spans="1:4" x14ac:dyDescent="0.25">
      <c r="A31" s="4" t="s">
        <v>57</v>
      </c>
      <c r="B31" s="4">
        <v>0.34</v>
      </c>
      <c r="C31" s="8">
        <v>0.342075256556442</v>
      </c>
      <c r="D31" s="4">
        <f t="shared" si="0"/>
        <v>1.1630558722919029E-3</v>
      </c>
    </row>
    <row r="32" spans="1:4" x14ac:dyDescent="0.25">
      <c r="A32" s="4" t="s">
        <v>58</v>
      </c>
      <c r="B32" s="4">
        <v>0.33</v>
      </c>
      <c r="C32" s="8">
        <v>-1.4719411223551</v>
      </c>
      <c r="D32" s="4">
        <f t="shared" si="0"/>
        <v>-4.8574057037718303E-3</v>
      </c>
    </row>
    <row r="33" spans="1:5" x14ac:dyDescent="0.25">
      <c r="A33" s="4" t="s">
        <v>2</v>
      </c>
      <c r="B33" s="11">
        <v>0.26</v>
      </c>
      <c r="C33" s="15">
        <v>2.3423423423423402</v>
      </c>
      <c r="D33" s="4">
        <f t="shared" si="0"/>
        <v>6.0900900900900841E-3</v>
      </c>
    </row>
    <row r="34" spans="1:5" x14ac:dyDescent="0.25">
      <c r="A34" s="4" t="s">
        <v>32</v>
      </c>
      <c r="B34" s="4">
        <v>0.18</v>
      </c>
      <c r="C34" s="8">
        <v>-4.6413502109704599</v>
      </c>
      <c r="D34" s="4">
        <f t="shared" si="0"/>
        <v>-8.3544303797468272E-3</v>
      </c>
    </row>
    <row r="35" spans="1:5" x14ac:dyDescent="0.25">
      <c r="A35" s="4" t="s">
        <v>4</v>
      </c>
      <c r="B35" s="4">
        <v>0.12</v>
      </c>
      <c r="C35" s="8">
        <v>-1.09375</v>
      </c>
      <c r="D35" s="4">
        <f t="shared" si="0"/>
        <v>-1.3125000000000001E-3</v>
      </c>
    </row>
    <row r="36" spans="1:5" x14ac:dyDescent="0.25">
      <c r="A36" s="4" t="s">
        <v>59</v>
      </c>
      <c r="B36" s="4">
        <v>7.0000000000000007E-2</v>
      </c>
      <c r="C36" s="8">
        <v>-0.340831629175187</v>
      </c>
      <c r="D36" s="4">
        <f t="shared" si="0"/>
        <v>-2.3858214042263092E-4</v>
      </c>
    </row>
    <row r="37" spans="1:5" x14ac:dyDescent="0.25">
      <c r="A37" s="4" t="s">
        <v>60</v>
      </c>
      <c r="B37" s="4">
        <v>0.05</v>
      </c>
      <c r="C37" s="8">
        <v>-1.7608897126969401</v>
      </c>
      <c r="D37" s="4">
        <f t="shared" si="0"/>
        <v>-8.8044485634847019E-4</v>
      </c>
    </row>
    <row r="38" spans="1:5" x14ac:dyDescent="0.25">
      <c r="A38" s="4" t="s">
        <v>61</v>
      </c>
      <c r="B38" s="4">
        <v>0.04</v>
      </c>
      <c r="C38" s="8">
        <v>1.2171684817424699</v>
      </c>
      <c r="D38" s="4">
        <f t="shared" si="0"/>
        <v>4.8686739269698798E-4</v>
      </c>
    </row>
    <row r="39" spans="1:5" x14ac:dyDescent="0.25">
      <c r="A39" s="4" t="s">
        <v>62</v>
      </c>
      <c r="B39" s="4">
        <v>0.04</v>
      </c>
      <c r="C39" s="8">
        <v>2.56</v>
      </c>
      <c r="D39" s="4">
        <f t="shared" si="0"/>
        <v>1.024E-3</v>
      </c>
    </row>
    <row r="40" spans="1:5" x14ac:dyDescent="0.25">
      <c r="A40" s="4" t="s">
        <v>35</v>
      </c>
      <c r="B40" s="4">
        <v>0.3</v>
      </c>
      <c r="C40" s="8">
        <v>0.50125313283207995</v>
      </c>
      <c r="D40" s="4">
        <f t="shared" si="0"/>
        <v>1.5037593984962396E-3</v>
      </c>
    </row>
    <row r="41" spans="1:5" x14ac:dyDescent="0.25">
      <c r="A41" s="4" t="s">
        <v>41</v>
      </c>
      <c r="B41" s="4">
        <v>8.33</v>
      </c>
      <c r="C41" s="4">
        <v>-0.88</v>
      </c>
      <c r="D41" s="4">
        <f t="shared" si="0"/>
        <v>-7.3303999999999994E-2</v>
      </c>
    </row>
    <row r="42" spans="1:5" x14ac:dyDescent="0.25">
      <c r="A42" s="4" t="s">
        <v>42</v>
      </c>
      <c r="B42" s="4">
        <v>8.27</v>
      </c>
      <c r="C42" s="4">
        <v>7.0000000000000007E-2</v>
      </c>
      <c r="D42" s="4">
        <f t="shared" si="0"/>
        <v>5.7889999999999999E-3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-0.90000972431727866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6"/>
      <c r="B49" s="26"/>
      <c r="C49" s="4"/>
      <c r="D49" s="4"/>
      <c r="E49" s="17"/>
    </row>
    <row r="50" spans="1:6" x14ac:dyDescent="0.25">
      <c r="A50" s="26"/>
      <c r="B50" s="26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6">
        <v>160454</v>
      </c>
      <c r="C56" s="26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6">
        <v>159246</v>
      </c>
      <c r="C57" s="26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6">
        <v>159672</v>
      </c>
      <c r="C58" s="26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6">
        <v>160788</v>
      </c>
      <c r="C59" s="26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6">
        <v>162385</v>
      </c>
      <c r="C60" s="26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6">
        <v>160805</v>
      </c>
      <c r="C61" s="26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6">
        <v>159675</v>
      </c>
      <c r="C62" s="26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/>
      <c r="B63" s="26"/>
      <c r="C63" s="26"/>
      <c r="D63" s="19"/>
      <c r="E63" s="22"/>
      <c r="F63" s="24"/>
    </row>
    <row r="64" spans="1:6" x14ac:dyDescent="0.25">
      <c r="A64" s="18"/>
      <c r="B64" s="26"/>
      <c r="C64" s="26"/>
      <c r="D64" s="19"/>
      <c r="E64" s="22"/>
      <c r="F64" s="24"/>
    </row>
    <row r="65" spans="1:6" x14ac:dyDescent="0.25">
      <c r="A65" s="18"/>
      <c r="B65" s="26"/>
      <c r="C65" s="26"/>
      <c r="D65" s="19"/>
      <c r="E65" s="22"/>
      <c r="F65" s="24"/>
    </row>
    <row r="66" spans="1:6" x14ac:dyDescent="0.25">
      <c r="A66" s="18"/>
      <c r="B66" s="26"/>
      <c r="C66" s="26"/>
      <c r="D66" s="19"/>
      <c r="E66" s="22"/>
      <c r="F66" s="24"/>
    </row>
    <row r="67" spans="1:6" x14ac:dyDescent="0.25">
      <c r="A67" s="18"/>
      <c r="B67" s="26"/>
      <c r="C67" s="26"/>
      <c r="D67" s="19"/>
      <c r="E67" s="22"/>
      <c r="F67" s="24"/>
    </row>
    <row r="68" spans="1:6" x14ac:dyDescent="0.25">
      <c r="A68" s="18"/>
      <c r="B68" s="26"/>
      <c r="C68" s="26"/>
      <c r="D68" s="19"/>
      <c r="E68" s="22"/>
      <c r="F68" s="24"/>
    </row>
    <row r="69" spans="1:6" x14ac:dyDescent="0.25">
      <c r="A69" s="18"/>
      <c r="B69" s="26"/>
      <c r="C69" s="26"/>
      <c r="D69" s="19"/>
      <c r="E69" s="22"/>
      <c r="F69" s="24"/>
    </row>
    <row r="70" spans="1:6" x14ac:dyDescent="0.25">
      <c r="A70" s="18"/>
      <c r="B70" s="26"/>
      <c r="C70" s="26"/>
      <c r="D70" s="19"/>
      <c r="E70" s="22"/>
      <c r="F70" s="24"/>
    </row>
    <row r="71" spans="1:6" x14ac:dyDescent="0.25">
      <c r="A71" s="18"/>
      <c r="B71" s="26"/>
      <c r="C71" s="26"/>
      <c r="D71" s="19"/>
      <c r="E71" s="22"/>
      <c r="F71" s="24"/>
    </row>
    <row r="72" spans="1:6" x14ac:dyDescent="0.25">
      <c r="A72" s="18"/>
      <c r="B72" s="26"/>
      <c r="C72" s="26"/>
      <c r="D72" s="19"/>
      <c r="E72" s="22"/>
      <c r="F72" s="24"/>
    </row>
    <row r="73" spans="1:6" x14ac:dyDescent="0.25">
      <c r="A73" s="18"/>
      <c r="B73" s="26"/>
      <c r="C73" s="26"/>
      <c r="D73" s="19"/>
      <c r="E73" s="22"/>
      <c r="F73" s="24"/>
    </row>
    <row r="74" spans="1:6" x14ac:dyDescent="0.25">
      <c r="A74" s="18"/>
      <c r="B74" s="26"/>
      <c r="C74" s="26"/>
      <c r="D74" s="19"/>
      <c r="E74" s="22"/>
      <c r="F74" s="24"/>
    </row>
    <row r="75" spans="1:6" x14ac:dyDescent="0.25">
      <c r="A75" s="18"/>
      <c r="B75" s="26"/>
      <c r="C75" s="26"/>
      <c r="D75" s="19"/>
      <c r="E75" s="22"/>
      <c r="F75" s="24"/>
    </row>
    <row r="76" spans="1:6" x14ac:dyDescent="0.25">
      <c r="A76" s="18"/>
      <c r="B76" s="26"/>
      <c r="C76" s="26"/>
      <c r="D76" s="19"/>
      <c r="E76" s="22"/>
      <c r="F76" s="24"/>
    </row>
    <row r="77" spans="1:6" x14ac:dyDescent="0.25">
      <c r="A77" s="18"/>
      <c r="B77" s="26"/>
      <c r="C77" s="26"/>
      <c r="D77" s="19"/>
      <c r="E77" s="22"/>
      <c r="F77" s="24"/>
    </row>
    <row r="78" spans="1:6" x14ac:dyDescent="0.25">
      <c r="A78" s="18"/>
      <c r="B78" s="26"/>
      <c r="C78" s="26"/>
      <c r="D78" s="19"/>
      <c r="E78" s="22"/>
      <c r="F78" s="24"/>
    </row>
    <row r="79" spans="1:6" x14ac:dyDescent="0.25">
      <c r="A79" s="18"/>
      <c r="B79" s="26"/>
      <c r="C79" s="26"/>
      <c r="D79" s="19"/>
      <c r="E79" s="22"/>
      <c r="F79" s="24"/>
    </row>
    <row r="80" spans="1:6" x14ac:dyDescent="0.25">
      <c r="A80" s="18"/>
      <c r="B80" s="26"/>
      <c r="C80" s="26"/>
      <c r="D80" s="19"/>
      <c r="E80" s="22"/>
      <c r="F80" s="24"/>
    </row>
    <row r="81" spans="1:6" x14ac:dyDescent="0.25">
      <c r="A81" s="18"/>
      <c r="B81" s="26"/>
      <c r="C81" s="26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13" workbookViewId="0">
      <selection activeCell="H60" sqref="H60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-7.7290836653386403</v>
      </c>
      <c r="D2" s="4">
        <f>B2*C2/100</f>
        <v>-0.74585657370517877</v>
      </c>
    </row>
    <row r="3" spans="1:4" x14ac:dyDescent="0.25">
      <c r="A3" s="4" t="s">
        <v>13</v>
      </c>
      <c r="B3" s="4">
        <v>9.2899999999999991</v>
      </c>
      <c r="C3" s="8">
        <v>0.57692307692307698</v>
      </c>
      <c r="D3" s="4">
        <f t="shared" ref="D3:D36" si="0">B3*C3/100</f>
        <v>5.3596153846153849E-2</v>
      </c>
    </row>
    <row r="4" spans="1:4" x14ac:dyDescent="0.25">
      <c r="A4" s="4" t="s">
        <v>12</v>
      </c>
      <c r="B4" s="4">
        <v>9.24</v>
      </c>
      <c r="C4" s="8">
        <v>-9.9953073674331296</v>
      </c>
      <c r="D4" s="4">
        <f t="shared" si="0"/>
        <v>-0.9235664007508213</v>
      </c>
    </row>
    <row r="5" spans="1:4" x14ac:dyDescent="0.25">
      <c r="A5" s="4" t="s">
        <v>55</v>
      </c>
      <c r="B5" s="4">
        <v>6.09</v>
      </c>
      <c r="C5" s="8">
        <v>7.0175438596491198</v>
      </c>
      <c r="D5" s="4">
        <f t="shared" si="0"/>
        <v>0.42736842105263134</v>
      </c>
    </row>
    <row r="6" spans="1:4" x14ac:dyDescent="0.25">
      <c r="A6" s="4" t="s">
        <v>9</v>
      </c>
      <c r="B6" s="4">
        <v>4.7300000000000004</v>
      </c>
      <c r="C6" s="8">
        <v>7.9545454545454497</v>
      </c>
      <c r="D6" s="4">
        <f t="shared" si="0"/>
        <v>0.37624999999999981</v>
      </c>
    </row>
    <row r="7" spans="1:4" x14ac:dyDescent="0.25">
      <c r="A7" s="4" t="s">
        <v>15</v>
      </c>
      <c r="B7" s="4">
        <v>4.5199999999999996</v>
      </c>
      <c r="C7" s="8">
        <v>7.9136690647482002</v>
      </c>
      <c r="D7" s="4">
        <f t="shared" si="0"/>
        <v>0.35769784172661867</v>
      </c>
    </row>
    <row r="8" spans="1:4" x14ac:dyDescent="0.25">
      <c r="A8" s="4" t="s">
        <v>18</v>
      </c>
      <c r="B8" s="4">
        <v>3.4</v>
      </c>
      <c r="C8" s="8">
        <v>4.5269352648257097</v>
      </c>
      <c r="D8" s="4">
        <f t="shared" si="0"/>
        <v>0.15391579900407412</v>
      </c>
    </row>
    <row r="9" spans="1:4" x14ac:dyDescent="0.25">
      <c r="A9" s="4" t="s">
        <v>16</v>
      </c>
      <c r="B9" s="4">
        <v>2.73</v>
      </c>
      <c r="C9" s="8">
        <v>-1.5961691939345499</v>
      </c>
      <c r="D9" s="4">
        <f t="shared" si="0"/>
        <v>-4.3575418994413209E-2</v>
      </c>
    </row>
    <row r="10" spans="1:4" x14ac:dyDescent="0.25">
      <c r="A10" s="4" t="s">
        <v>6</v>
      </c>
      <c r="B10" s="4">
        <v>2.2999999999999998</v>
      </c>
      <c r="C10" s="8">
        <v>-2.40066225165562</v>
      </c>
      <c r="D10" s="4">
        <f t="shared" si="0"/>
        <v>-5.5215231788079251E-2</v>
      </c>
    </row>
    <row r="11" spans="1:4" x14ac:dyDescent="0.25">
      <c r="A11" s="4" t="s">
        <v>21</v>
      </c>
      <c r="B11" s="4">
        <v>1.67</v>
      </c>
      <c r="C11" s="8">
        <v>9.8619329388560106E-2</v>
      </c>
      <c r="D11" s="4">
        <f t="shared" si="0"/>
        <v>1.6469428007889536E-3</v>
      </c>
    </row>
    <row r="12" spans="1:4" x14ac:dyDescent="0.25">
      <c r="A12" s="4" t="s">
        <v>17</v>
      </c>
      <c r="B12" s="4">
        <v>1.58</v>
      </c>
      <c r="C12" s="8">
        <v>-0.88</v>
      </c>
      <c r="D12" s="4">
        <f t="shared" si="0"/>
        <v>-1.3904000000000001E-2</v>
      </c>
    </row>
    <row r="13" spans="1:4" x14ac:dyDescent="0.25">
      <c r="A13" s="4" t="s">
        <v>0</v>
      </c>
      <c r="B13" s="4">
        <v>1.57</v>
      </c>
      <c r="C13" s="8">
        <v>-0.93663911845729997</v>
      </c>
      <c r="D13" s="4">
        <f t="shared" si="0"/>
        <v>-1.4705234159779611E-2</v>
      </c>
    </row>
    <row r="14" spans="1:4" x14ac:dyDescent="0.25">
      <c r="A14" s="4" t="s">
        <v>19</v>
      </c>
      <c r="B14" s="4">
        <v>1.1299999999999999</v>
      </c>
      <c r="C14" s="8">
        <v>-2.6856240126382298</v>
      </c>
      <c r="D14" s="4">
        <f t="shared" si="0"/>
        <v>-3.0347551342811994E-2</v>
      </c>
    </row>
    <row r="15" spans="1:4" x14ac:dyDescent="0.25">
      <c r="A15" s="4" t="s">
        <v>20</v>
      </c>
      <c r="B15" s="4">
        <v>1.03</v>
      </c>
      <c r="C15" s="8">
        <v>-2.6381909547738598</v>
      </c>
      <c r="D15" s="4">
        <f t="shared" si="0"/>
        <v>-2.7173366834170758E-2</v>
      </c>
    </row>
    <row r="16" spans="1:4" x14ac:dyDescent="0.25">
      <c r="A16" s="4" t="s">
        <v>22</v>
      </c>
      <c r="B16" s="4">
        <v>0.98</v>
      </c>
      <c r="C16" s="8">
        <v>-0.87509944311853605</v>
      </c>
      <c r="D16" s="4">
        <f t="shared" si="0"/>
        <v>-8.5759745425616537E-3</v>
      </c>
    </row>
    <row r="17" spans="1:4" x14ac:dyDescent="0.25">
      <c r="A17" s="4" t="s">
        <v>36</v>
      </c>
      <c r="B17" s="4">
        <v>0.87</v>
      </c>
      <c r="C17" s="8">
        <v>-9.8952270081490106</v>
      </c>
      <c r="D17" s="4">
        <f t="shared" si="0"/>
        <v>-8.6088474970896389E-2</v>
      </c>
    </row>
    <row r="18" spans="1:4" x14ac:dyDescent="0.25">
      <c r="A18" s="4" t="s">
        <v>27</v>
      </c>
      <c r="B18" s="4">
        <v>0.59</v>
      </c>
      <c r="C18" s="8">
        <v>-4.2669584245076502</v>
      </c>
      <c r="D18" s="4">
        <f t="shared" si="0"/>
        <v>-2.5175054704595135E-2</v>
      </c>
    </row>
    <row r="19" spans="1:4" x14ac:dyDescent="0.25">
      <c r="A19" s="4" t="s">
        <v>60</v>
      </c>
      <c r="B19" s="4">
        <v>0.5</v>
      </c>
      <c r="C19" s="8">
        <v>-1.7608897126969401</v>
      </c>
      <c r="D19" s="4">
        <f t="shared" si="0"/>
        <v>-8.804448563484701E-3</v>
      </c>
    </row>
    <row r="20" spans="1:4" x14ac:dyDescent="0.25">
      <c r="A20" s="4" t="s">
        <v>39</v>
      </c>
      <c r="B20" s="4">
        <v>0.48</v>
      </c>
      <c r="C20" s="8">
        <v>-1.4925373134328299</v>
      </c>
      <c r="D20" s="4">
        <f t="shared" si="0"/>
        <v>-7.1641791044775834E-3</v>
      </c>
    </row>
    <row r="21" spans="1:4" x14ac:dyDescent="0.25">
      <c r="A21" s="4" t="s">
        <v>28</v>
      </c>
      <c r="B21" s="4">
        <v>0.42</v>
      </c>
      <c r="C21" s="8">
        <v>-1.07317073170731</v>
      </c>
      <c r="D21" s="4">
        <f t="shared" si="0"/>
        <v>-4.5073170731707015E-3</v>
      </c>
    </row>
    <row r="22" spans="1:4" x14ac:dyDescent="0.25">
      <c r="A22" s="4" t="s">
        <v>37</v>
      </c>
      <c r="B22" s="4">
        <v>0.4</v>
      </c>
      <c r="C22" s="8">
        <v>-0.86687306501547901</v>
      </c>
      <c r="D22" s="4">
        <f t="shared" si="0"/>
        <v>-3.4674922600619164E-3</v>
      </c>
    </row>
    <row r="23" spans="1:4" x14ac:dyDescent="0.25">
      <c r="A23" s="4" t="s">
        <v>33</v>
      </c>
      <c r="B23" s="4">
        <v>0.38</v>
      </c>
      <c r="C23" s="8">
        <v>-3.1901041666666599</v>
      </c>
      <c r="D23" s="4">
        <f t="shared" si="0"/>
        <v>-1.2122395833333308E-2</v>
      </c>
    </row>
    <row r="24" spans="1:4" x14ac:dyDescent="0.25">
      <c r="A24" s="4" t="s">
        <v>2</v>
      </c>
      <c r="B24" s="4">
        <v>0.25</v>
      </c>
      <c r="C24" s="8">
        <v>2.3423423423423402</v>
      </c>
      <c r="D24" s="4">
        <f t="shared" si="0"/>
        <v>5.8558558558558507E-3</v>
      </c>
    </row>
    <row r="25" spans="1:4" x14ac:dyDescent="0.25">
      <c r="A25" s="4" t="s">
        <v>38</v>
      </c>
      <c r="B25" s="4">
        <v>0.25</v>
      </c>
      <c r="C25" s="8">
        <v>-0.96575943810359899</v>
      </c>
      <c r="D25" s="4">
        <f t="shared" si="0"/>
        <v>-2.4143985952589974E-3</v>
      </c>
    </row>
    <row r="26" spans="1:4" x14ac:dyDescent="0.25">
      <c r="A26" s="4" t="s">
        <v>34</v>
      </c>
      <c r="B26" s="4">
        <v>0.24</v>
      </c>
      <c r="C26" s="8">
        <v>0.62015503875968903</v>
      </c>
      <c r="D26" s="4">
        <f t="shared" si="0"/>
        <v>1.4883720930232536E-3</v>
      </c>
    </row>
    <row r="27" spans="1:4" x14ac:dyDescent="0.25">
      <c r="A27" s="4" t="s">
        <v>3</v>
      </c>
      <c r="B27" s="4">
        <v>0.23</v>
      </c>
      <c r="C27" s="8">
        <v>0.13623978201634801</v>
      </c>
      <c r="D27" s="4">
        <f t="shared" si="0"/>
        <v>3.1335149863760041E-4</v>
      </c>
    </row>
    <row r="28" spans="1:4" x14ac:dyDescent="0.25">
      <c r="A28" s="4" t="s">
        <v>40</v>
      </c>
      <c r="B28" s="4">
        <v>0.2</v>
      </c>
      <c r="C28" s="8">
        <v>-0.44444444444444398</v>
      </c>
      <c r="D28" s="4">
        <f t="shared" si="0"/>
        <v>-8.8888888888888796E-4</v>
      </c>
    </row>
    <row r="29" spans="1:4" x14ac:dyDescent="0.25">
      <c r="A29" s="4" t="s">
        <v>61</v>
      </c>
      <c r="B29" s="13">
        <v>0.08</v>
      </c>
      <c r="C29" s="15">
        <v>1.2171684817424699</v>
      </c>
      <c r="D29" s="4">
        <f t="shared" si="0"/>
        <v>9.7373478539397595E-4</v>
      </c>
    </row>
    <row r="30" spans="1:4" x14ac:dyDescent="0.25">
      <c r="A30" s="4" t="s">
        <v>59</v>
      </c>
      <c r="B30" s="4">
        <v>0.01</v>
      </c>
      <c r="C30" s="8">
        <v>-0.340831629175187</v>
      </c>
      <c r="D30" s="4">
        <f t="shared" si="0"/>
        <v>-3.4083162917518701E-5</v>
      </c>
    </row>
    <row r="31" spans="1:4" x14ac:dyDescent="0.25">
      <c r="A31" s="4" t="s">
        <v>41</v>
      </c>
      <c r="B31" s="4">
        <v>7.99</v>
      </c>
      <c r="C31" s="4">
        <v>-0.88</v>
      </c>
      <c r="D31" s="4">
        <f t="shared" si="0"/>
        <v>-7.0311999999999999E-2</v>
      </c>
    </row>
    <row r="32" spans="1:4" x14ac:dyDescent="0.25">
      <c r="A32" s="4" t="s">
        <v>42</v>
      </c>
      <c r="B32" s="4">
        <v>7.7</v>
      </c>
      <c r="C32" s="4">
        <v>7.0000000000000007E-2</v>
      </c>
      <c r="D32" s="4">
        <f t="shared" si="0"/>
        <v>5.3900000000000007E-3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9.49</v>
      </c>
      <c r="D35" s="4">
        <f t="shared" si="0"/>
        <v>5.5042000000000001E-2</v>
      </c>
    </row>
    <row r="36" spans="1:5" x14ac:dyDescent="0.25">
      <c r="A36" s="4" t="s">
        <v>66</v>
      </c>
      <c r="B36" s="4">
        <v>0.06</v>
      </c>
      <c r="C36" s="4">
        <v>-0.15</v>
      </c>
      <c r="D36" s="4">
        <f t="shared" si="0"/>
        <v>-8.9999999999999992E-5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-0.64018601261172448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6"/>
      <c r="B44" s="26"/>
      <c r="C44" s="4"/>
      <c r="D44" s="4"/>
      <c r="E44" s="17"/>
    </row>
    <row r="45" spans="1:5" x14ac:dyDescent="0.25">
      <c r="A45" s="26"/>
      <c r="B45" s="26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6">
        <v>78223</v>
      </c>
      <c r="C54" s="26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6">
        <v>78055</v>
      </c>
      <c r="C55" s="26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6">
        <v>78840</v>
      </c>
      <c r="C56" s="26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6">
        <v>79795</v>
      </c>
      <c r="C57" s="26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6">
        <v>80830</v>
      </c>
      <c r="C58" s="26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6">
        <v>80272</v>
      </c>
      <c r="C59" s="26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6">
        <v>79803</v>
      </c>
      <c r="C60" s="26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/>
      <c r="B61" s="26"/>
      <c r="C61" s="26"/>
      <c r="D61" s="21"/>
      <c r="E61" s="22"/>
      <c r="F61" s="24"/>
    </row>
    <row r="62" spans="1:6" x14ac:dyDescent="0.25">
      <c r="A62" s="18"/>
      <c r="B62" s="26"/>
      <c r="C62" s="26"/>
      <c r="D62" s="21"/>
      <c r="E62" s="22"/>
      <c r="F62" s="24"/>
    </row>
    <row r="63" spans="1:6" x14ac:dyDescent="0.25">
      <c r="A63" s="18"/>
      <c r="B63" s="26"/>
      <c r="C63" s="26"/>
      <c r="D63" s="21"/>
      <c r="E63" s="22"/>
      <c r="F63" s="24"/>
    </row>
    <row r="64" spans="1:6" x14ac:dyDescent="0.25">
      <c r="A64" s="18"/>
      <c r="B64" s="26"/>
      <c r="C64" s="26"/>
      <c r="D64" s="21"/>
      <c r="E64" s="22"/>
      <c r="F64" s="24"/>
    </row>
    <row r="65" spans="1:6" x14ac:dyDescent="0.25">
      <c r="A65" s="18"/>
      <c r="B65" s="26"/>
      <c r="C65" s="26"/>
      <c r="D65" s="21"/>
      <c r="E65" s="22"/>
      <c r="F65" s="24"/>
    </row>
    <row r="66" spans="1:6" x14ac:dyDescent="0.25">
      <c r="A66" s="18"/>
      <c r="B66" s="26"/>
      <c r="C66" s="26"/>
      <c r="D66" s="21"/>
      <c r="E66" s="22"/>
      <c r="F66" s="24"/>
    </row>
    <row r="67" spans="1:6" x14ac:dyDescent="0.25">
      <c r="A67" s="18"/>
      <c r="B67" s="26"/>
      <c r="C67" s="26"/>
      <c r="D67" s="21"/>
      <c r="E67" s="22"/>
      <c r="F67" s="24"/>
    </row>
    <row r="68" spans="1:6" x14ac:dyDescent="0.25">
      <c r="A68" s="18"/>
      <c r="B68" s="26"/>
      <c r="C68" s="26"/>
      <c r="D68" s="21"/>
      <c r="E68" s="22"/>
      <c r="F68" s="24"/>
    </row>
    <row r="69" spans="1:6" x14ac:dyDescent="0.25">
      <c r="A69" s="18"/>
      <c r="B69" s="26"/>
      <c r="C69" s="26"/>
      <c r="D69" s="21"/>
      <c r="E69" s="22"/>
      <c r="F69" s="24"/>
    </row>
    <row r="70" spans="1:6" x14ac:dyDescent="0.25">
      <c r="A70" s="18"/>
      <c r="B70" s="26"/>
      <c r="C70" s="26"/>
      <c r="D70" s="21"/>
      <c r="E70" s="22"/>
      <c r="F70" s="24"/>
    </row>
    <row r="71" spans="1:6" x14ac:dyDescent="0.25">
      <c r="A71" s="18"/>
      <c r="B71" s="26"/>
      <c r="C71" s="26"/>
      <c r="D71" s="21"/>
      <c r="E71" s="22"/>
      <c r="F71" s="24"/>
    </row>
    <row r="72" spans="1:6" x14ac:dyDescent="0.25">
      <c r="A72" s="18"/>
      <c r="B72" s="26"/>
      <c r="C72" s="26"/>
      <c r="D72" s="21"/>
      <c r="E72" s="22"/>
      <c r="F72" s="24"/>
    </row>
    <row r="73" spans="1:6" x14ac:dyDescent="0.25">
      <c r="A73" s="18"/>
      <c r="B73" s="26"/>
      <c r="C73" s="26"/>
      <c r="D73" s="21"/>
      <c r="E73" s="22"/>
      <c r="F73" s="24"/>
    </row>
    <row r="74" spans="1:6" x14ac:dyDescent="0.25">
      <c r="A74" s="18"/>
      <c r="B74" s="26"/>
      <c r="C74" s="26"/>
      <c r="D74" s="21"/>
      <c r="E74" s="22"/>
      <c r="F74" s="24"/>
    </row>
    <row r="75" spans="1:6" x14ac:dyDescent="0.25">
      <c r="A75" s="18"/>
      <c r="B75" s="26"/>
      <c r="C75" s="26"/>
      <c r="D75" s="21"/>
      <c r="E75" s="22"/>
      <c r="F75" s="24"/>
    </row>
    <row r="76" spans="1:6" x14ac:dyDescent="0.25">
      <c r="A76" s="18"/>
      <c r="B76" s="26"/>
      <c r="C76" s="26"/>
      <c r="D76" s="21"/>
      <c r="E76" s="22"/>
      <c r="F76" s="24"/>
    </row>
    <row r="77" spans="1:6" x14ac:dyDescent="0.25">
      <c r="A77" s="18"/>
      <c r="B77" s="26"/>
      <c r="C77" s="26"/>
      <c r="D77" s="21"/>
      <c r="E77" s="22"/>
      <c r="F77" s="24"/>
    </row>
    <row r="78" spans="1:6" x14ac:dyDescent="0.25">
      <c r="A78" s="18"/>
      <c r="B78" s="26"/>
      <c r="C78" s="26"/>
      <c r="D78" s="21"/>
      <c r="E78" s="22"/>
      <c r="F78" s="24"/>
    </row>
    <row r="79" spans="1:6" x14ac:dyDescent="0.25">
      <c r="A79" s="18"/>
      <c r="B79" s="26"/>
      <c r="C79" s="26"/>
      <c r="D79" s="21"/>
      <c r="E79" s="22"/>
      <c r="F79" s="24"/>
    </row>
    <row r="80" spans="1:6" x14ac:dyDescent="0.25">
      <c r="A80" s="18"/>
      <c r="B80" s="26"/>
      <c r="C80" s="26"/>
      <c r="D80" s="21"/>
      <c r="E80" s="22"/>
      <c r="F80" s="24"/>
    </row>
    <row r="81" spans="1:6" x14ac:dyDescent="0.25">
      <c r="A81" s="18"/>
      <c r="B81" s="26"/>
      <c r="C81" s="26"/>
      <c r="D81" s="21"/>
      <c r="E81" s="22"/>
      <c r="F81" s="24"/>
    </row>
    <row r="82" spans="1:6" x14ac:dyDescent="0.25">
      <c r="A82" s="18"/>
      <c r="B82" s="26"/>
      <c r="C82" s="26"/>
      <c r="D82" s="21"/>
      <c r="E82" s="22"/>
      <c r="F82" s="24"/>
    </row>
    <row r="83" spans="1:6" x14ac:dyDescent="0.25">
      <c r="A83" s="18"/>
      <c r="B83" s="26"/>
      <c r="C83" s="26"/>
      <c r="D83" s="21"/>
      <c r="E83" s="22"/>
      <c r="F83" s="24"/>
    </row>
    <row r="84" spans="1:6" x14ac:dyDescent="0.25">
      <c r="A84" s="18"/>
      <c r="B84" s="26"/>
      <c r="C84" s="26"/>
      <c r="D84" s="21"/>
      <c r="E84" s="22"/>
      <c r="F84" s="24"/>
    </row>
    <row r="85" spans="1:6" x14ac:dyDescent="0.25">
      <c r="A85" s="18"/>
      <c r="B85" s="26"/>
      <c r="C85" s="26"/>
      <c r="D85" s="21"/>
      <c r="E85" s="22"/>
      <c r="F85" s="24"/>
    </row>
    <row r="86" spans="1:6" x14ac:dyDescent="0.25">
      <c r="A86" s="18"/>
      <c r="B86" s="26"/>
      <c r="C86" s="26"/>
      <c r="D86" s="21"/>
      <c r="E86" s="22"/>
      <c r="F86" s="24"/>
    </row>
    <row r="87" spans="1:6" x14ac:dyDescent="0.25">
      <c r="A87" s="18"/>
      <c r="B87" s="26"/>
      <c r="C87" s="26"/>
      <c r="D87" s="21"/>
      <c r="E87" s="22"/>
      <c r="F87" s="24"/>
    </row>
    <row r="88" spans="1:6" x14ac:dyDescent="0.25">
      <c r="A88" s="18"/>
      <c r="B88" s="26"/>
      <c r="C88" s="26"/>
      <c r="D88" s="21"/>
      <c r="E88" s="22"/>
      <c r="F88" s="24"/>
    </row>
    <row r="89" spans="1:6" x14ac:dyDescent="0.25">
      <c r="A89" s="18"/>
      <c r="B89" s="26"/>
      <c r="C89" s="26"/>
      <c r="D89" s="21"/>
      <c r="E89" s="22"/>
      <c r="F89" s="24"/>
    </row>
    <row r="90" spans="1:6" x14ac:dyDescent="0.25">
      <c r="A90" s="18"/>
      <c r="B90" s="26"/>
      <c r="C90" s="26"/>
      <c r="D90" s="21"/>
      <c r="E90" s="22"/>
      <c r="F90" s="24"/>
    </row>
    <row r="91" spans="1:6" x14ac:dyDescent="0.25">
      <c r="A91" s="18"/>
      <c r="B91" s="26"/>
      <c r="C91" s="26"/>
      <c r="D91" s="21"/>
      <c r="E91" s="22"/>
      <c r="F91" s="24"/>
    </row>
    <row r="92" spans="1:6" x14ac:dyDescent="0.25">
      <c r="A92" s="18"/>
      <c r="B92" s="26"/>
      <c r="C92" s="26"/>
      <c r="D92" s="21"/>
      <c r="E92" s="22"/>
      <c r="F92" s="24"/>
    </row>
    <row r="93" spans="1:6" x14ac:dyDescent="0.25">
      <c r="A93" s="18"/>
      <c r="B93" s="26"/>
      <c r="C93" s="26"/>
      <c r="D93" s="21"/>
      <c r="E93" s="22"/>
      <c r="F93" s="24"/>
    </row>
    <row r="94" spans="1:6" x14ac:dyDescent="0.25">
      <c r="A94" s="18"/>
      <c r="B94" s="26"/>
      <c r="C94" s="26"/>
      <c r="D94" s="21"/>
      <c r="E94" s="22"/>
      <c r="F94" s="24"/>
    </row>
    <row r="95" spans="1:6" x14ac:dyDescent="0.25">
      <c r="A95" s="18"/>
      <c r="B95" s="26"/>
      <c r="C95" s="26"/>
      <c r="D95" s="21"/>
      <c r="E95" s="22"/>
      <c r="F95" s="24"/>
    </row>
    <row r="96" spans="1:6" x14ac:dyDescent="0.25">
      <c r="A96" s="18"/>
      <c r="B96" s="26"/>
      <c r="C96" s="26"/>
      <c r="D96" s="21"/>
      <c r="E96" s="22"/>
      <c r="F96" s="24"/>
    </row>
    <row r="97" spans="1:6" x14ac:dyDescent="0.25">
      <c r="A97" s="18"/>
      <c r="B97" s="26"/>
      <c r="C97" s="26"/>
      <c r="D97" s="21"/>
      <c r="E97" s="22"/>
      <c r="F97" s="24"/>
    </row>
    <row r="98" spans="1:6" x14ac:dyDescent="0.25">
      <c r="A98" s="18"/>
      <c r="B98" s="26"/>
      <c r="C98" s="26"/>
      <c r="D98" s="21"/>
      <c r="E98" s="22"/>
      <c r="F98" s="24"/>
    </row>
    <row r="99" spans="1:6" x14ac:dyDescent="0.25">
      <c r="A99" s="18"/>
      <c r="B99" s="26"/>
      <c r="C99" s="26"/>
      <c r="D99" s="21"/>
      <c r="E99" s="22"/>
      <c r="F99" s="24"/>
    </row>
    <row r="100" spans="1:6" x14ac:dyDescent="0.25">
      <c r="A100" s="18"/>
      <c r="B100" s="26"/>
      <c r="C100" s="26"/>
      <c r="D100" s="21"/>
      <c r="E100" s="22"/>
      <c r="F100" s="24"/>
    </row>
    <row r="101" spans="1:6" x14ac:dyDescent="0.25">
      <c r="A101" s="18"/>
      <c r="B101" s="26"/>
      <c r="C101" s="26"/>
      <c r="D101" s="21"/>
      <c r="E101" s="22"/>
      <c r="F101" s="24"/>
    </row>
    <row r="102" spans="1:6" x14ac:dyDescent="0.25">
      <c r="A102" s="18"/>
      <c r="B102" s="26"/>
      <c r="C102" s="26"/>
      <c r="D102" s="21"/>
      <c r="E102" s="22"/>
      <c r="F102" s="24"/>
    </row>
    <row r="103" spans="1:6" x14ac:dyDescent="0.25">
      <c r="A103" s="18"/>
      <c r="B103" s="26"/>
      <c r="C103" s="26"/>
      <c r="D103" s="21"/>
      <c r="E103" s="22"/>
      <c r="F103" s="24"/>
    </row>
    <row r="104" spans="1:6" x14ac:dyDescent="0.25">
      <c r="A104" s="18"/>
      <c r="B104" s="26"/>
      <c r="C104" s="26"/>
      <c r="D104" s="21"/>
      <c r="E104" s="22"/>
      <c r="F104" s="24"/>
    </row>
    <row r="105" spans="1:6" x14ac:dyDescent="0.25">
      <c r="A105" s="18"/>
      <c r="B105" s="26"/>
      <c r="C105" s="26"/>
      <c r="D105" s="21"/>
      <c r="E105" s="22"/>
      <c r="F105" s="24"/>
    </row>
    <row r="106" spans="1:6" x14ac:dyDescent="0.25">
      <c r="A106" s="18"/>
      <c r="B106" s="26"/>
      <c r="C106" s="26"/>
      <c r="D106" s="21"/>
      <c r="E106" s="22"/>
      <c r="F106" s="24"/>
    </row>
    <row r="107" spans="1:6" x14ac:dyDescent="0.25">
      <c r="A107" s="18"/>
      <c r="B107" s="26"/>
      <c r="C107" s="26"/>
      <c r="D107" s="21"/>
      <c r="E107" s="22"/>
      <c r="F107" s="24"/>
    </row>
    <row r="108" spans="1:6" x14ac:dyDescent="0.25">
      <c r="A108" s="18"/>
      <c r="B108" s="26"/>
      <c r="C108" s="26"/>
      <c r="D108" s="21"/>
      <c r="E108" s="22"/>
      <c r="F108" s="24"/>
    </row>
    <row r="109" spans="1:6" x14ac:dyDescent="0.25">
      <c r="A109" s="18"/>
      <c r="B109" s="26"/>
      <c r="C109" s="26"/>
      <c r="D109" s="21"/>
      <c r="E109" s="22"/>
      <c r="F109" s="24"/>
    </row>
    <row r="110" spans="1:6" x14ac:dyDescent="0.25">
      <c r="A110" s="18"/>
      <c r="B110" s="26"/>
      <c r="C110" s="26"/>
      <c r="D110" s="21"/>
      <c r="E110" s="22"/>
      <c r="F110" s="24"/>
    </row>
    <row r="111" spans="1:6" x14ac:dyDescent="0.25">
      <c r="A111" s="18"/>
      <c r="B111" s="26"/>
      <c r="C111" s="26"/>
      <c r="D111" s="21"/>
      <c r="E111" s="22"/>
      <c r="F111" s="24"/>
    </row>
    <row r="112" spans="1:6" x14ac:dyDescent="0.25">
      <c r="A112" s="18"/>
      <c r="B112" s="26"/>
      <c r="C112" s="26"/>
      <c r="D112" s="21"/>
      <c r="E112" s="22"/>
      <c r="F112" s="24"/>
    </row>
    <row r="113" spans="1:6" x14ac:dyDescent="0.25">
      <c r="A113" s="18"/>
      <c r="B113" s="26"/>
      <c r="C113" s="26"/>
      <c r="D113" s="21"/>
      <c r="E113" s="22"/>
      <c r="F113" s="24"/>
    </row>
    <row r="114" spans="1:6" x14ac:dyDescent="0.25">
      <c r="A114" s="18"/>
      <c r="B114" s="26"/>
      <c r="C114" s="26"/>
      <c r="D114" s="21"/>
      <c r="E114" s="22"/>
      <c r="F114" s="24"/>
    </row>
    <row r="115" spans="1:6" x14ac:dyDescent="0.25">
      <c r="A115" s="18"/>
      <c r="B115" s="26"/>
      <c r="C115" s="26"/>
      <c r="D115" s="21"/>
      <c r="E115" s="22"/>
      <c r="F115" s="24"/>
    </row>
    <row r="116" spans="1:6" x14ac:dyDescent="0.25">
      <c r="A116" s="18"/>
      <c r="B116" s="26"/>
      <c r="C116" s="26"/>
      <c r="D116" s="21"/>
      <c r="E116" s="22"/>
      <c r="F116" s="24"/>
    </row>
    <row r="117" spans="1:6" x14ac:dyDescent="0.25">
      <c r="A117" s="18"/>
      <c r="B117" s="26"/>
      <c r="C117" s="26"/>
      <c r="D117" s="21"/>
      <c r="E117" s="22"/>
      <c r="F117" s="24"/>
    </row>
    <row r="118" spans="1:6" x14ac:dyDescent="0.25">
      <c r="A118" s="18"/>
      <c r="B118" s="26"/>
      <c r="C118" s="26"/>
      <c r="D118" s="21"/>
      <c r="E118" s="22"/>
      <c r="F118" s="24"/>
    </row>
    <row r="119" spans="1:6" x14ac:dyDescent="0.25">
      <c r="A119" s="18"/>
      <c r="B119" s="26"/>
      <c r="C119" s="26"/>
      <c r="D119" s="21"/>
      <c r="E119" s="22"/>
      <c r="F119" s="24"/>
    </row>
    <row r="120" spans="1:6" x14ac:dyDescent="0.25">
      <c r="A120" s="18"/>
      <c r="B120" s="26"/>
      <c r="C120" s="26"/>
      <c r="D120" s="21"/>
      <c r="E120" s="22"/>
      <c r="F120" s="24"/>
    </row>
    <row r="121" spans="1:6" x14ac:dyDescent="0.25">
      <c r="A121" s="18"/>
      <c r="B121" s="26"/>
      <c r="C121" s="26"/>
      <c r="D121" s="21"/>
      <c r="E121" s="22"/>
      <c r="F121" s="24"/>
    </row>
    <row r="122" spans="1:6" x14ac:dyDescent="0.25">
      <c r="A122" s="18"/>
      <c r="B122" s="26"/>
      <c r="C122" s="26"/>
      <c r="D122" s="21"/>
      <c r="E122" s="22"/>
      <c r="F122" s="24"/>
    </row>
    <row r="123" spans="1:6" x14ac:dyDescent="0.25">
      <c r="A123" s="18"/>
      <c r="B123" s="26"/>
      <c r="C123" s="26"/>
      <c r="D123" s="21"/>
      <c r="E123" s="22"/>
      <c r="F123" s="24"/>
    </row>
    <row r="124" spans="1:6" x14ac:dyDescent="0.25">
      <c r="A124" s="18"/>
      <c r="B124" s="26"/>
      <c r="C124" s="26"/>
      <c r="D124" s="21"/>
      <c r="E124" s="22"/>
      <c r="F124" s="24"/>
    </row>
    <row r="125" spans="1:6" x14ac:dyDescent="0.25">
      <c r="A125" s="18"/>
      <c r="B125" s="26"/>
      <c r="C125" s="26"/>
      <c r="D125" s="21"/>
      <c r="E125" s="22"/>
      <c r="F125" s="24"/>
    </row>
    <row r="126" spans="1:6" x14ac:dyDescent="0.25">
      <c r="A126" s="18"/>
      <c r="B126" s="26"/>
      <c r="C126" s="26"/>
      <c r="D126" s="21"/>
      <c r="E126" s="22"/>
      <c r="F126" s="24"/>
    </row>
    <row r="127" spans="1:6" x14ac:dyDescent="0.25">
      <c r="A127" s="18"/>
      <c r="B127" s="26"/>
      <c r="C127" s="26"/>
      <c r="D127" s="21"/>
      <c r="E127" s="22"/>
      <c r="F127" s="24"/>
    </row>
    <row r="128" spans="1:6" x14ac:dyDescent="0.25">
      <c r="A128" s="18"/>
      <c r="B128" s="26"/>
      <c r="C128" s="26"/>
      <c r="D128" s="21"/>
      <c r="E128" s="22"/>
      <c r="F128" s="24"/>
    </row>
    <row r="129" spans="1:6" x14ac:dyDescent="0.25">
      <c r="A129" s="18"/>
      <c r="B129" s="26"/>
      <c r="C129" s="26"/>
      <c r="D129" s="21"/>
      <c r="E129" s="22"/>
      <c r="F129" s="24"/>
    </row>
    <row r="130" spans="1:6" x14ac:dyDescent="0.25">
      <c r="A130" s="18"/>
      <c r="B130" s="26"/>
      <c r="C130" s="26"/>
      <c r="D130" s="21"/>
      <c r="E130" s="22"/>
      <c r="F130" s="24"/>
    </row>
    <row r="131" spans="1:6" x14ac:dyDescent="0.25">
      <c r="A131" s="18"/>
      <c r="B131" s="26"/>
      <c r="C131" s="26"/>
      <c r="D131" s="21"/>
      <c r="E131" s="22"/>
      <c r="F131" s="24"/>
    </row>
    <row r="132" spans="1:6" x14ac:dyDescent="0.25">
      <c r="A132" s="18"/>
      <c r="B132" s="26"/>
      <c r="C132" s="26"/>
      <c r="D132" s="21"/>
      <c r="E132" s="22"/>
      <c r="F132" s="24"/>
    </row>
    <row r="133" spans="1:6" x14ac:dyDescent="0.25">
      <c r="A133" s="18"/>
      <c r="B133" s="26"/>
      <c r="C133" s="26"/>
      <c r="D133" s="21"/>
      <c r="E133" s="22"/>
      <c r="F133" s="24"/>
    </row>
    <row r="134" spans="1:6" x14ac:dyDescent="0.25">
      <c r="A134" s="18"/>
      <c r="B134" s="26"/>
      <c r="C134" s="26"/>
      <c r="D134" s="21"/>
      <c r="E134" s="22"/>
      <c r="F134" s="24"/>
    </row>
    <row r="135" spans="1:6" x14ac:dyDescent="0.25">
      <c r="A135" s="18"/>
      <c r="B135" s="26"/>
      <c r="C135" s="26"/>
      <c r="D135" s="21"/>
      <c r="E135" s="22"/>
      <c r="F135" s="24"/>
    </row>
    <row r="136" spans="1:6" x14ac:dyDescent="0.25">
      <c r="A136" s="18"/>
      <c r="B136" s="26"/>
      <c r="C136" s="26"/>
      <c r="D136" s="21"/>
      <c r="E136" s="22"/>
      <c r="F136" s="24"/>
    </row>
    <row r="137" spans="1:6" x14ac:dyDescent="0.25">
      <c r="A137" s="18"/>
      <c r="B137" s="26"/>
      <c r="C137" s="26"/>
      <c r="D137" s="21"/>
      <c r="E137" s="22"/>
      <c r="F137" s="24"/>
    </row>
    <row r="138" spans="1:6" x14ac:dyDescent="0.25">
      <c r="A138" s="18"/>
      <c r="B138" s="26"/>
      <c r="C138" s="26"/>
      <c r="D138" s="21"/>
      <c r="E138" s="22"/>
      <c r="F138" s="24"/>
    </row>
    <row r="139" spans="1:6" x14ac:dyDescent="0.25">
      <c r="A139" s="18"/>
      <c r="B139" s="26"/>
      <c r="C139" s="26"/>
      <c r="D139" s="21"/>
      <c r="E139" s="22"/>
      <c r="F139" s="24"/>
    </row>
    <row r="140" spans="1:6" x14ac:dyDescent="0.25">
      <c r="A140" s="18"/>
      <c r="B140" s="26"/>
      <c r="C140" s="26"/>
      <c r="D140" s="21"/>
      <c r="E140" s="22"/>
      <c r="F140" s="24"/>
    </row>
    <row r="141" spans="1:6" x14ac:dyDescent="0.25">
      <c r="A141" s="18"/>
      <c r="B141" s="26"/>
      <c r="C141" s="26"/>
      <c r="D141" s="21"/>
      <c r="E141" s="22"/>
      <c r="F141" s="24"/>
    </row>
    <row r="142" spans="1:6" x14ac:dyDescent="0.25">
      <c r="A142" s="18"/>
      <c r="B142" s="26"/>
      <c r="C142" s="26"/>
      <c r="D142" s="21"/>
      <c r="E142" s="22"/>
      <c r="F142" s="24"/>
    </row>
    <row r="143" spans="1:6" x14ac:dyDescent="0.25">
      <c r="A143" s="18"/>
      <c r="B143" s="26"/>
      <c r="C143" s="26"/>
      <c r="D143" s="21"/>
      <c r="E143" s="22"/>
      <c r="F143" s="24"/>
    </row>
    <row r="144" spans="1:6" x14ac:dyDescent="0.25">
      <c r="A144" s="18"/>
      <c r="B144" s="26"/>
      <c r="C144" s="26"/>
      <c r="D144" s="21"/>
      <c r="E144" s="22"/>
      <c r="F144" s="24"/>
    </row>
    <row r="145" spans="1:6" x14ac:dyDescent="0.25">
      <c r="A145" s="18"/>
      <c r="B145" s="26"/>
      <c r="C145" s="26"/>
      <c r="D145" s="21"/>
      <c r="E145" s="22"/>
      <c r="F145" s="24"/>
    </row>
    <row r="146" spans="1:6" x14ac:dyDescent="0.25">
      <c r="A146" s="18"/>
      <c r="B146" s="26"/>
      <c r="C146" s="26"/>
      <c r="D146" s="21"/>
      <c r="E146" s="22"/>
      <c r="F146" s="24"/>
    </row>
    <row r="147" spans="1:6" x14ac:dyDescent="0.25">
      <c r="A147" s="18"/>
      <c r="B147" s="26"/>
      <c r="C147" s="26"/>
      <c r="D147" s="21"/>
      <c r="E147" s="22"/>
      <c r="F147" s="24"/>
    </row>
    <row r="148" spans="1:6" x14ac:dyDescent="0.25">
      <c r="A148" s="18"/>
      <c r="B148" s="26"/>
      <c r="C148" s="26"/>
      <c r="D148" s="21"/>
      <c r="E148" s="22"/>
      <c r="F148" s="24"/>
    </row>
    <row r="149" spans="1:6" x14ac:dyDescent="0.25">
      <c r="A149" s="18"/>
      <c r="B149" s="26"/>
      <c r="C149" s="26"/>
      <c r="D149" s="21"/>
      <c r="E149" s="22"/>
      <c r="F149" s="24"/>
    </row>
    <row r="150" spans="1:6" x14ac:dyDescent="0.25">
      <c r="A150" s="18"/>
      <c r="B150" s="26"/>
      <c r="C150" s="26"/>
      <c r="D150" s="21"/>
      <c r="E150" s="22"/>
      <c r="F150" s="24"/>
    </row>
    <row r="151" spans="1:6" x14ac:dyDescent="0.25">
      <c r="A151" s="18"/>
      <c r="B151" s="26"/>
      <c r="C151" s="26"/>
      <c r="D151" s="21"/>
      <c r="E151" s="22"/>
      <c r="F151" s="24"/>
    </row>
    <row r="152" spans="1:6" x14ac:dyDescent="0.25">
      <c r="A152" s="18"/>
      <c r="B152" s="26"/>
      <c r="C152" s="26"/>
      <c r="D152" s="21"/>
      <c r="E152" s="22"/>
      <c r="F152" s="24"/>
    </row>
    <row r="153" spans="1:6" x14ac:dyDescent="0.25">
      <c r="A153" s="18"/>
      <c r="B153" s="26"/>
      <c r="C153" s="26"/>
      <c r="D153" s="21"/>
      <c r="E153" s="22"/>
      <c r="F153" s="24"/>
    </row>
    <row r="154" spans="1:6" x14ac:dyDescent="0.25">
      <c r="A154" s="18"/>
      <c r="B154" s="26"/>
      <c r="C154" s="26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G44" sqref="G44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-0.72507552870090597</v>
      </c>
      <c r="D2" s="4">
        <f>B2*C2/100</f>
        <v>-0.38247734138972789</v>
      </c>
    </row>
    <row r="3" spans="1:5" x14ac:dyDescent="0.25">
      <c r="A3" s="4" t="s">
        <v>45</v>
      </c>
      <c r="B3" s="4">
        <v>11.12</v>
      </c>
      <c r="C3" s="8">
        <v>-4.5398773006134903</v>
      </c>
      <c r="D3" s="4">
        <f t="shared" ref="D3:D5" si="0">B3*C3/100</f>
        <v>-0.50483435582822012</v>
      </c>
    </row>
    <row r="4" spans="1:5" x14ac:dyDescent="0.25">
      <c r="A4" s="4" t="s">
        <v>46</v>
      </c>
      <c r="B4" s="4">
        <v>0.53</v>
      </c>
      <c r="C4" s="8">
        <v>0.105988341282458</v>
      </c>
      <c r="D4" s="4">
        <f t="shared" si="0"/>
        <v>5.6173820879702741E-4</v>
      </c>
    </row>
    <row r="5" spans="1:5" x14ac:dyDescent="0.25">
      <c r="A5" s="4" t="s">
        <v>47</v>
      </c>
      <c r="B5" s="4">
        <v>29.82</v>
      </c>
      <c r="C5" s="4">
        <v>-0.26</v>
      </c>
      <c r="D5" s="4">
        <f t="shared" si="0"/>
        <v>-7.7532000000000004E-2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-0.96428195900915104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6"/>
      <c r="B10" s="26"/>
      <c r="C10" s="4"/>
      <c r="D10" s="4"/>
      <c r="E10" s="17"/>
    </row>
    <row r="11" spans="1:5" x14ac:dyDescent="0.25">
      <c r="A11" s="26"/>
      <c r="B11" s="26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6">
        <v>48221</v>
      </c>
      <c r="C32" s="26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6">
        <v>48802</v>
      </c>
      <c r="C33" s="26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6">
        <v>49403</v>
      </c>
      <c r="C34" s="26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6">
        <v>49817</v>
      </c>
      <c r="C35" s="26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6">
        <v>50631</v>
      </c>
      <c r="C36" s="26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6">
        <v>50968</v>
      </c>
      <c r="C37" s="26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6">
        <v>51171</v>
      </c>
      <c r="C38" s="26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/>
      <c r="B39" s="26"/>
      <c r="C39" s="26"/>
      <c r="D39" s="21"/>
      <c r="E39" s="21"/>
      <c r="F39" s="24"/>
    </row>
    <row r="40" spans="1:6" x14ac:dyDescent="0.25">
      <c r="A40" s="23"/>
      <c r="B40" s="26"/>
      <c r="C40" s="26"/>
      <c r="D40" s="21"/>
      <c r="E40" s="21"/>
      <c r="F40" s="24"/>
    </row>
    <row r="41" spans="1:6" x14ac:dyDescent="0.25">
      <c r="A41" s="23"/>
      <c r="B41" s="26"/>
      <c r="C41" s="26"/>
      <c r="D41" s="21"/>
      <c r="E41" s="21"/>
      <c r="F41" s="24"/>
    </row>
    <row r="42" spans="1:6" x14ac:dyDescent="0.25">
      <c r="A42" s="23"/>
      <c r="B42" s="26"/>
      <c r="C42" s="26"/>
      <c r="D42" s="21"/>
      <c r="E42" s="21"/>
      <c r="F42" s="24"/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tabSelected="1" workbookViewId="0">
      <selection activeCell="F49" sqref="F49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1.6773162939297099</v>
      </c>
      <c r="D2" s="7">
        <f>B2*C2/100</f>
        <v>0.71353035143769861</v>
      </c>
    </row>
    <row r="3" spans="1:6" x14ac:dyDescent="0.25">
      <c r="A3" t="s">
        <v>69</v>
      </c>
      <c r="B3" s="4">
        <v>32.340000000000003</v>
      </c>
      <c r="C3" s="3">
        <v>-4.8923679060665304</v>
      </c>
      <c r="D3" s="7">
        <f t="shared" ref="D3:D7" si="0">B3*C3/100</f>
        <v>-1.5821917808219161</v>
      </c>
    </row>
    <row r="4" spans="1:6" x14ac:dyDescent="0.25">
      <c r="A4" t="s">
        <v>70</v>
      </c>
      <c r="B4" s="4">
        <v>12.21</v>
      </c>
      <c r="C4" s="3">
        <v>-3.1948881789137298</v>
      </c>
      <c r="D4" s="7">
        <f t="shared" si="0"/>
        <v>-0.39009584664536645</v>
      </c>
    </row>
    <row r="5" spans="1:6" x14ac:dyDescent="0.25">
      <c r="A5" t="s">
        <v>71</v>
      </c>
      <c r="B5" s="4">
        <v>10.92</v>
      </c>
      <c r="C5" s="3">
        <v>-1.8217821782178201</v>
      </c>
      <c r="D5" s="7">
        <f t="shared" si="0"/>
        <v>-0.19893861386138595</v>
      </c>
    </row>
    <row r="6" spans="1:6" x14ac:dyDescent="0.25">
      <c r="A6" t="s">
        <v>72</v>
      </c>
      <c r="B6" s="4">
        <v>5.89</v>
      </c>
      <c r="C6" s="3">
        <v>-2.7552674230145802</v>
      </c>
      <c r="D6" s="7">
        <f t="shared" si="0"/>
        <v>-0.16228525121555876</v>
      </c>
    </row>
    <row r="7" spans="1:6" x14ac:dyDescent="0.25">
      <c r="A7" t="s">
        <v>73</v>
      </c>
      <c r="B7" s="4">
        <v>5.68</v>
      </c>
      <c r="C7" s="3">
        <v>-2.5157232704402501</v>
      </c>
      <c r="D7" s="7">
        <f t="shared" si="0"/>
        <v>-0.14289308176100621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-1.7628742228675349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6"/>
      <c r="B13" s="26"/>
      <c r="C13" s="4"/>
      <c r="D13" s="4"/>
      <c r="E13" s="4"/>
      <c r="F13" s="17"/>
    </row>
    <row r="14" spans="1:6" x14ac:dyDescent="0.25">
      <c r="A14" s="26"/>
      <c r="B14" s="26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6">
        <v>6356</v>
      </c>
      <c r="C38" s="26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6">
        <v>6609</v>
      </c>
      <c r="C39" s="26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6">
        <v>6906</v>
      </c>
      <c r="C40" s="26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6">
        <v>7221</v>
      </c>
      <c r="C41" s="26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6">
        <v>7429</v>
      </c>
      <c r="C42" s="26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6">
        <v>7272</v>
      </c>
      <c r="C43" s="26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>
        <v>46234</v>
      </c>
      <c r="B44" s="26">
        <v>7038</v>
      </c>
      <c r="C44" s="26"/>
      <c r="D44" s="21">
        <v>1042575112</v>
      </c>
      <c r="E44" s="21">
        <v>-84952353</v>
      </c>
      <c r="F44" s="24">
        <v>-1.54E-2</v>
      </c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  <row r="142" spans="1:6" x14ac:dyDescent="0.25">
      <c r="A142" s="23"/>
      <c r="B142" s="26"/>
      <c r="C142" s="26"/>
      <c r="D142" s="21"/>
      <c r="E142" s="21"/>
      <c r="F142" s="24"/>
    </row>
    <row r="143" spans="1:6" x14ac:dyDescent="0.25">
      <c r="A143" s="23"/>
      <c r="B143" s="26"/>
      <c r="C143" s="26"/>
      <c r="D143" s="21"/>
      <c r="E143" s="21"/>
      <c r="F143" s="24"/>
    </row>
    <row r="144" spans="1:6" x14ac:dyDescent="0.25">
      <c r="A144" s="23"/>
      <c r="B144" s="26"/>
      <c r="C144" s="26"/>
      <c r="D144" s="21"/>
      <c r="E144" s="21"/>
      <c r="F144" s="24"/>
    </row>
    <row r="145" spans="1:6" x14ac:dyDescent="0.25">
      <c r="A145" s="23"/>
      <c r="B145" s="26"/>
      <c r="C145" s="26"/>
      <c r="D145" s="21"/>
      <c r="E145" s="21"/>
      <c r="F145" s="24"/>
    </row>
    <row r="146" spans="1:6" x14ac:dyDescent="0.25">
      <c r="A146" s="23"/>
      <c r="B146" s="26"/>
      <c r="C146" s="26"/>
      <c r="D146" s="21"/>
      <c r="E146" s="21"/>
      <c r="F146" s="24"/>
    </row>
    <row r="147" spans="1:6" x14ac:dyDescent="0.25">
      <c r="A147" s="23"/>
      <c r="B147" s="26"/>
      <c r="C147" s="26"/>
      <c r="D147" s="21"/>
      <c r="E147" s="21"/>
      <c r="F147" s="24"/>
    </row>
    <row r="148" spans="1:6" x14ac:dyDescent="0.25">
      <c r="A148" s="23"/>
      <c r="B148" s="26"/>
      <c r="C148" s="26"/>
      <c r="D148" s="21"/>
      <c r="E148" s="21"/>
      <c r="F148" s="24"/>
    </row>
    <row r="149" spans="1:6" x14ac:dyDescent="0.25">
      <c r="A149" s="23"/>
      <c r="B149" s="26"/>
      <c r="C149" s="26"/>
      <c r="D149" s="21"/>
      <c r="E149" s="21"/>
      <c r="F149" s="24"/>
    </row>
    <row r="150" spans="1:6" x14ac:dyDescent="0.25">
      <c r="A150" s="23"/>
      <c r="B150" s="26"/>
      <c r="C150" s="26"/>
      <c r="D150" s="21"/>
      <c r="E150" s="21"/>
      <c r="F150" s="24"/>
    </row>
    <row r="151" spans="1:6" x14ac:dyDescent="0.25">
      <c r="A151" s="23"/>
      <c r="B151" s="26"/>
      <c r="C151" s="26"/>
      <c r="D151" s="21"/>
      <c r="E151" s="21"/>
      <c r="F151" s="24"/>
    </row>
    <row r="152" spans="1:6" x14ac:dyDescent="0.25">
      <c r="A152" s="23"/>
      <c r="B152" s="26"/>
      <c r="C152" s="26"/>
      <c r="D152" s="21"/>
      <c r="E152" s="21"/>
      <c r="F152" s="24"/>
    </row>
    <row r="153" spans="1:6" x14ac:dyDescent="0.25">
      <c r="A153" s="23"/>
      <c r="B153" s="26"/>
      <c r="C153" s="26"/>
      <c r="D153" s="21"/>
      <c r="E153" s="21"/>
      <c r="F153" s="24"/>
    </row>
    <row r="154" spans="1:6" x14ac:dyDescent="0.25">
      <c r="A154" s="23"/>
      <c r="B154" s="26"/>
      <c r="C154" s="26"/>
      <c r="D154" s="21"/>
      <c r="E154" s="21"/>
      <c r="F154" s="24"/>
    </row>
    <row r="155" spans="1:6" x14ac:dyDescent="0.25">
      <c r="A155" s="23"/>
      <c r="B155" s="26"/>
      <c r="C155" s="26"/>
      <c r="D155" s="21"/>
      <c r="E155" s="21"/>
      <c r="F155" s="24"/>
    </row>
    <row r="156" spans="1:6" x14ac:dyDescent="0.25">
      <c r="A156" s="23"/>
      <c r="B156" s="26"/>
      <c r="C156" s="26"/>
      <c r="D156" s="21"/>
      <c r="E156" s="21"/>
      <c r="F156" s="24"/>
    </row>
    <row r="157" spans="1:6" x14ac:dyDescent="0.25">
      <c r="A157" s="23"/>
      <c r="B157" s="26"/>
      <c r="C157" s="26"/>
      <c r="D157" s="21"/>
      <c r="E157" s="21"/>
      <c r="F157" s="24"/>
    </row>
    <row r="158" spans="1:6" x14ac:dyDescent="0.25">
      <c r="A158" s="23"/>
      <c r="B158" s="26"/>
      <c r="C158" s="26"/>
      <c r="D158" s="21"/>
      <c r="E158" s="21"/>
      <c r="F158" s="24"/>
    </row>
    <row r="159" spans="1:6" x14ac:dyDescent="0.25">
      <c r="A159" s="23"/>
      <c r="B159" s="26"/>
      <c r="C159" s="26"/>
      <c r="D159" s="21"/>
      <c r="E159" s="21"/>
      <c r="F159" s="24"/>
    </row>
    <row r="160" spans="1:6" x14ac:dyDescent="0.25">
      <c r="A160" s="23"/>
      <c r="B160" s="26"/>
      <c r="C160" s="26"/>
      <c r="D160" s="21"/>
      <c r="E160" s="21"/>
      <c r="F160" s="24"/>
    </row>
    <row r="161" spans="1:6" x14ac:dyDescent="0.25">
      <c r="A161" s="23"/>
      <c r="B161" s="26"/>
      <c r="C161" s="26"/>
      <c r="D161" s="21"/>
      <c r="E161" s="21"/>
      <c r="F161" s="24"/>
    </row>
    <row r="162" spans="1:6" x14ac:dyDescent="0.25">
      <c r="A162" s="23"/>
      <c r="B162" s="26"/>
      <c r="C162" s="26"/>
      <c r="D162" s="21"/>
      <c r="E162" s="21"/>
      <c r="F162" s="24"/>
    </row>
    <row r="163" spans="1:6" x14ac:dyDescent="0.25">
      <c r="A163" s="23"/>
      <c r="B163" s="26"/>
      <c r="C163" s="26"/>
      <c r="D163" s="21"/>
      <c r="E163" s="21"/>
      <c r="F163" s="24"/>
    </row>
    <row r="164" spans="1:6" x14ac:dyDescent="0.25">
      <c r="A164" s="23"/>
      <c r="B164" s="26"/>
      <c r="C164" s="26"/>
      <c r="D164" s="21"/>
      <c r="E164" s="21"/>
      <c r="F164" s="24"/>
    </row>
    <row r="165" spans="1:6" x14ac:dyDescent="0.25">
      <c r="A165" s="23"/>
      <c r="B165" s="26"/>
      <c r="C165" s="26"/>
      <c r="D165" s="21"/>
      <c r="E165" s="21"/>
      <c r="F165" s="24"/>
    </row>
    <row r="166" spans="1:6" x14ac:dyDescent="0.25">
      <c r="A166" s="23"/>
      <c r="B166" s="26"/>
      <c r="C166" s="26"/>
      <c r="D166" s="21"/>
      <c r="E166" s="21"/>
      <c r="F166" s="24"/>
    </row>
    <row r="167" spans="1:6" x14ac:dyDescent="0.25">
      <c r="A167" s="23"/>
      <c r="B167" s="26"/>
      <c r="C167" s="26"/>
      <c r="D167" s="21"/>
      <c r="E167" s="21"/>
      <c r="F167" s="24"/>
    </row>
    <row r="168" spans="1:6" x14ac:dyDescent="0.25">
      <c r="A168" s="23"/>
      <c r="B168" s="26"/>
      <c r="C168" s="26"/>
      <c r="D168" s="21"/>
      <c r="E168" s="21"/>
      <c r="F168" s="24"/>
    </row>
    <row r="169" spans="1:6" x14ac:dyDescent="0.25">
      <c r="A169" s="23"/>
      <c r="B169" s="26"/>
      <c r="C169" s="26"/>
      <c r="D169" s="21"/>
      <c r="E169" s="21"/>
      <c r="F169" s="24"/>
    </row>
    <row r="170" spans="1:6" x14ac:dyDescent="0.25">
      <c r="A170" s="23"/>
      <c r="B170" s="26"/>
      <c r="C170" s="26"/>
      <c r="D170" s="21"/>
      <c r="E170" s="21"/>
      <c r="F170" s="24"/>
    </row>
    <row r="171" spans="1:6" x14ac:dyDescent="0.25">
      <c r="A171" s="23"/>
      <c r="B171" s="26"/>
      <c r="C171" s="26"/>
      <c r="D171" s="21"/>
      <c r="E171" s="21"/>
      <c r="F171" s="24"/>
    </row>
    <row r="172" spans="1:6" x14ac:dyDescent="0.25">
      <c r="A172" s="23"/>
      <c r="B172" s="26"/>
      <c r="C172" s="26"/>
      <c r="D172" s="21"/>
      <c r="E172" s="21"/>
      <c r="F172" s="24"/>
    </row>
  </sheetData>
  <mergeCells count="138"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2026-07-31T07:58:37Z</dcterms:modified>
</cp:coreProperties>
</file>