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E7A16F3A-14EF-46ED-B889-E3880E5B2AAA}" xr6:coauthVersionLast="47" xr6:coauthVersionMax="47" xr10:uidLastSave="{00000000-0000-0000-0000-000000000000}"/>
  <bookViews>
    <workbookView xWindow="-36840" yWindow="0" windowWidth="12195" windowHeight="20985" firstSheet="1" activeTab="5" xr2:uid="{00000000-000D-0000-FFFF-FFFF00000000}"/>
  </bookViews>
  <sheets>
    <sheet name="TLY" sheetId="1" r:id="rId1"/>
    <sheet name="PHE" sheetId="2" r:id="rId2"/>
    <sheet name="DFI" sheetId="4" r:id="rId3"/>
    <sheet name="KHA" sheetId="7" r:id="rId4"/>
    <sheet name="THF" sheetId="8" r:id="rId5"/>
    <sheet name="TMV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9" l="1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B20" i="9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47" i="7"/>
  <c r="D46" i="7"/>
  <c r="D45" i="7"/>
  <c r="D44" i="7"/>
  <c r="D43" i="7"/>
  <c r="D42" i="7"/>
  <c r="D41" i="7"/>
  <c r="D40" i="7"/>
  <c r="D39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4" i="4"/>
  <c r="D3" i="4"/>
  <c r="D2" i="4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8" i="1"/>
  <c r="D17" i="1"/>
  <c r="D16" i="1"/>
  <c r="D15" i="1"/>
  <c r="D14" i="1"/>
  <c r="D13" i="1"/>
  <c r="D12" i="1"/>
  <c r="D11" i="1"/>
  <c r="D9" i="1"/>
  <c r="D6" i="1"/>
  <c r="D5" i="1"/>
  <c r="D4" i="1"/>
  <c r="D3" i="1"/>
  <c r="D38" i="7"/>
  <c r="D8" i="1"/>
  <c r="D7" i="1"/>
  <c r="D2" i="1"/>
  <c r="B33" i="8"/>
  <c r="B50" i="7"/>
  <c r="D49" i="7"/>
  <c r="D48" i="7"/>
  <c r="B10" i="4"/>
  <c r="D9" i="4"/>
  <c r="D8" i="4"/>
  <c r="D7" i="4"/>
  <c r="D6" i="4"/>
  <c r="D5" i="4"/>
  <c r="B27" i="2"/>
  <c r="D26" i="2"/>
  <c r="D25" i="2"/>
  <c r="D24" i="2"/>
  <c r="D23" i="2"/>
  <c r="D10" i="1"/>
  <c r="B21" i="1"/>
  <c r="D20" i="1"/>
  <c r="D19" i="1"/>
  <c r="D20" i="9" l="1"/>
  <c r="D33" i="8"/>
  <c r="D50" i="7"/>
  <c r="D10" i="4"/>
  <c r="D27" i="2"/>
  <c r="D21" i="1"/>
</calcChain>
</file>

<file path=xl/sharedStrings.xml><?xml version="1.0" encoding="utf-8"?>
<sst xmlns="http://schemas.openxmlformats.org/spreadsheetml/2006/main" count="179" uniqueCount="103">
  <si>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</si>
  <si>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</si>
  <si>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</si>
  <si>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</si>
  <si>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</si>
  <si>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</si>
  <si>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</si>
  <si>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</si>
  <si>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</si>
  <si>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</si>
  <si>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</si>
  <si>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</si>
  <si>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</si>
  <si>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</si>
  <si>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</si>
  <si>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</si>
  <si>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</si>
  <si>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</si>
  <si>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</si>
  <si>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</si>
  <si>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</si>
  <si>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</si>
  <si>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</si>
  <si>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</si>
  <si>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</si>
  <si>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</si>
  <si>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</si>
  <si>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</si>
  <si>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</si>
  <si>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</si>
  <si>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</si>
  <si>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</si>
  <si>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</si>
  <si>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</si>
  <si>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</si>
  <si>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</si>
  <si>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</si>
  <si>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</si>
  <si>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</si>
  <si>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</si>
  <si>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</si>
  <si>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</si>
  <si>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</si>
  <si>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</si>
  <si>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</si>
  <si>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</si>
  <si>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</si>
  <si>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</si>
  <si>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</si>
  <si>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</si>
  <si>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</si>
  <si>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</si>
  <si>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</si>
  <si>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</si>
  <si>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</si>
  <si>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</si>
  <si>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</si>
  <si>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</si>
  <si>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</si>
  <si>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</si>
  <si>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</si>
  <si>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</si>
  <si>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</si>
  <si>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</si>
  <si>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</si>
  <si>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</si>
  <si>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</si>
  <si>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</si>
  <si>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</si>
  <si>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</si>
  <si>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</si>
  <si>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</si>
  <si>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</si>
  <si>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</si>
  <si>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</si>
  <si>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</si>
  <si>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</si>
  <si>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</si>
  <si>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</si>
  <si>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</si>
  <si>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</si>
  <si>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</si>
  <si>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</si>
  <si>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</si>
  <si>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</si>
  <si>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T3B</t>
  </si>
  <si>
    <t>PDG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</si>
  <si>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</si>
  <si>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</si>
  <si>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</si>
  <si>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</si>
  <si>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</si>
  <si>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</si>
  <si>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</si>
  <si>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</si>
  <si>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</si>
  <si>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</si>
  <si>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</si>
  <si>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</si>
  <si>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</si>
  <si>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</si>
  <si>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</si>
  <si>
    <t xml:space="preserve">MANAS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</si>
</sst>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20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27.03</v>
      </c>
      <c r="C2" s="3">
        <v>2.4684270952927601</v>
      </c>
      <c r="D2" s="7">
        <f>B2*C2/100</f>
        <v>0.66721584385763311</v>
      </c>
    </row>
    <row r="3" spans="1:4" x14ac:dyDescent="0.25">
      <c r="A3" s="4" t="s">
        <v>0</v>
      </c>
      <c r="B3" s="4">
        <v>18.78</v>
      </c>
      <c r="C3" s="3">
        <v>2.3255813953488298</v>
      </c>
      <c r="D3" s="7">
        <f>B3*C3/100</f>
        <v>0.43674418604651022</v>
      </c>
    </row>
    <row r="4" spans="1:4" x14ac:dyDescent="0.25">
      <c r="A4" s="4" t="s">
        <v>5</v>
      </c>
      <c r="B4" s="4">
        <v>8.99</v>
      </c>
      <c r="C4" s="3">
        <v>-9.9805068226120799</v>
      </c>
      <c r="D4" s="7">
        <f t="shared" ref="D4:D20" si="0">B4*C4/100</f>
        <v>-0.89724756335282607</v>
      </c>
    </row>
    <row r="5" spans="1:4" x14ac:dyDescent="0.25">
      <c r="A5" s="4" t="s">
        <v>3</v>
      </c>
      <c r="B5" s="4">
        <v>6.9</v>
      </c>
      <c r="C5" s="3">
        <v>1.6118200134318299</v>
      </c>
      <c r="D5" s="7">
        <f t="shared" si="0"/>
        <v>0.11121558092679626</v>
      </c>
    </row>
    <row r="6" spans="1:4" x14ac:dyDescent="0.25">
      <c r="A6" s="4" t="s">
        <v>2</v>
      </c>
      <c r="B6" s="4">
        <v>2.91</v>
      </c>
      <c r="C6" s="3">
        <v>2.2740193291642901</v>
      </c>
      <c r="D6" s="7">
        <f t="shared" si="0"/>
        <v>6.6173962478680848E-2</v>
      </c>
    </row>
    <row r="7" spans="1:4" x14ac:dyDescent="0.25">
      <c r="A7" s="4" t="s">
        <v>4</v>
      </c>
      <c r="B7" s="4">
        <v>4.82</v>
      </c>
      <c r="C7" s="3">
        <v>1.5625</v>
      </c>
      <c r="D7" s="7">
        <f t="shared" si="0"/>
        <v>7.5312500000000004E-2</v>
      </c>
    </row>
    <row r="8" spans="1:4" x14ac:dyDescent="0.25">
      <c r="A8" s="4" t="s">
        <v>6</v>
      </c>
      <c r="B8" s="4">
        <v>2.0499999999999998</v>
      </c>
      <c r="C8" s="3">
        <v>2.68965517241379</v>
      </c>
      <c r="D8" s="7">
        <f t="shared" si="0"/>
        <v>5.5137931034482696E-2</v>
      </c>
    </row>
    <row r="9" spans="1:4" x14ac:dyDescent="0.25">
      <c r="A9" s="4" t="s">
        <v>7</v>
      </c>
      <c r="B9" s="4">
        <v>1.57</v>
      </c>
      <c r="C9" s="3">
        <v>-0.99706744868035102</v>
      </c>
      <c r="D9" s="7">
        <f t="shared" si="0"/>
        <v>-1.5653958944281513E-2</v>
      </c>
    </row>
    <row r="10" spans="1:4" x14ac:dyDescent="0.25">
      <c r="A10" s="4" t="s">
        <v>42</v>
      </c>
      <c r="B10" s="4">
        <v>1.8</v>
      </c>
      <c r="C10" s="3">
        <v>1.9163763066202</v>
      </c>
      <c r="D10" s="7">
        <f t="shared" si="0"/>
        <v>3.44947735191636E-2</v>
      </c>
    </row>
    <row r="11" spans="1:4" x14ac:dyDescent="0.25">
      <c r="A11" s="4" t="s">
        <v>81</v>
      </c>
      <c r="B11" s="4">
        <v>3.26</v>
      </c>
      <c r="C11" s="3">
        <v>2.9609690444145298</v>
      </c>
      <c r="D11" s="7">
        <f t="shared" si="0"/>
        <v>9.6527590847913666E-2</v>
      </c>
    </row>
    <row r="12" spans="1:4" x14ac:dyDescent="0.25">
      <c r="A12" s="4" t="s">
        <v>9</v>
      </c>
      <c r="B12" s="4">
        <v>0.37</v>
      </c>
      <c r="C12" s="3">
        <v>-9.9505998588567302</v>
      </c>
      <c r="D12" s="7">
        <f t="shared" si="0"/>
        <v>-3.6817219477769905E-2</v>
      </c>
    </row>
    <row r="13" spans="1:4" x14ac:dyDescent="0.25">
      <c r="A13" s="4" t="s">
        <v>8</v>
      </c>
      <c r="B13" s="4">
        <v>0.55000000000000004</v>
      </c>
      <c r="C13" s="3">
        <v>4.1566265060240903</v>
      </c>
      <c r="D13" s="7">
        <f t="shared" si="0"/>
        <v>2.2861445783132497E-2</v>
      </c>
    </row>
    <row r="14" spans="1:4" x14ac:dyDescent="0.25">
      <c r="A14" s="4" t="s">
        <v>53</v>
      </c>
      <c r="B14" s="4">
        <v>0.31</v>
      </c>
      <c r="C14" s="3">
        <v>0.21505376344086</v>
      </c>
      <c r="D14" s="7">
        <f t="shared" si="0"/>
        <v>6.6666666666666599E-4</v>
      </c>
    </row>
    <row r="15" spans="1:4" x14ac:dyDescent="0.25">
      <c r="A15" s="4" t="s">
        <v>43</v>
      </c>
      <c r="B15" s="4">
        <v>0.14000000000000001</v>
      </c>
      <c r="C15" s="3">
        <v>2.83076923076923</v>
      </c>
      <c r="D15" s="7">
        <f t="shared" si="0"/>
        <v>3.9630769230769225E-3</v>
      </c>
    </row>
    <row r="16" spans="1:4" x14ac:dyDescent="0.25">
      <c r="A16" s="4" t="s">
        <v>82</v>
      </c>
      <c r="B16" s="4">
        <v>0.2</v>
      </c>
      <c r="C16" s="3">
        <v>-3.5577449370552801</v>
      </c>
      <c r="D16" s="7">
        <f t="shared" si="0"/>
        <v>-7.1154898741105609E-3</v>
      </c>
    </row>
    <row r="17" spans="1:6" x14ac:dyDescent="0.25">
      <c r="A17" s="4" t="s">
        <v>27</v>
      </c>
      <c r="B17" s="4">
        <v>0.1</v>
      </c>
      <c r="C17" s="3">
        <v>-3.0439684329199501</v>
      </c>
      <c r="D17" s="7">
        <f t="shared" si="0"/>
        <v>-3.0439684329199501E-3</v>
      </c>
    </row>
    <row r="18" spans="1:6" x14ac:dyDescent="0.25">
      <c r="A18" s="4" t="s">
        <v>84</v>
      </c>
      <c r="B18" s="4">
        <v>0.1</v>
      </c>
      <c r="C18" s="3">
        <v>-9.9601593625498008</v>
      </c>
      <c r="D18" s="7">
        <f t="shared" si="0"/>
        <v>-9.9601593625498006E-3</v>
      </c>
    </row>
    <row r="19" spans="1:6" x14ac:dyDescent="0.25">
      <c r="A19" s="4" t="s">
        <v>44</v>
      </c>
      <c r="B19" s="4">
        <v>4.78</v>
      </c>
      <c r="C19" s="3">
        <v>0.8</v>
      </c>
      <c r="D19" s="7">
        <f t="shared" si="0"/>
        <v>3.8240000000000003E-2</v>
      </c>
    </row>
    <row r="20" spans="1:6" x14ac:dyDescent="0.25">
      <c r="A20" s="4" t="s">
        <v>85</v>
      </c>
      <c r="B20" s="4">
        <v>0.01</v>
      </c>
      <c r="C20" s="3">
        <v>1.1599999999999999</v>
      </c>
      <c r="D20" s="7">
        <f t="shared" si="0"/>
        <v>1.1599999999999999E-4</v>
      </c>
    </row>
    <row r="21" spans="1:6" x14ac:dyDescent="0.25">
      <c r="A21" s="5" t="s">
        <v>52</v>
      </c>
      <c r="B21" s="5">
        <f>B2+B3+B4+B5+B6+B7+B8+B9+B10+B11+B12+B13+B14+B15+B16+B17+B18+B19+B20</f>
        <v>84.67</v>
      </c>
      <c r="C21" s="5"/>
      <c r="D21" s="6">
        <f>D2+D3+D4+D5+D6+D7+D8+D9+D10+D11+D12+D13+D14+D15+D16+D17+D18+D19+D20</f>
        <v>0.63883119863959881</v>
      </c>
    </row>
    <row r="22" spans="1:6" x14ac:dyDescent="0.25">
      <c r="A22" s="4"/>
      <c r="B22" s="4"/>
      <c r="C22" s="3"/>
      <c r="D22" s="7"/>
    </row>
    <row r="23" spans="1:6" x14ac:dyDescent="0.25">
      <c r="A23" s="4"/>
      <c r="B23" s="4"/>
      <c r="C23" s="3"/>
      <c r="D23" s="7"/>
    </row>
    <row r="24" spans="1:6" x14ac:dyDescent="0.25">
      <c r="A24" s="5"/>
      <c r="B24" s="5"/>
      <c r="C24" s="5"/>
      <c r="D24" s="6"/>
    </row>
    <row r="25" spans="1:6" x14ac:dyDescent="0.25">
      <c r="A25" s="15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6"/>
    </row>
    <row r="30" spans="1:6" x14ac:dyDescent="0.25">
      <c r="A30" s="29"/>
      <c r="B30" s="29"/>
      <c r="C30" s="9"/>
      <c r="D30" s="18"/>
    </row>
    <row r="31" spans="1:6" x14ac:dyDescent="0.25">
      <c r="A31" s="5"/>
      <c r="B31" s="30"/>
      <c r="C31" s="30"/>
      <c r="D31" s="19"/>
      <c r="E31" s="5"/>
      <c r="F31" s="5"/>
    </row>
    <row r="32" spans="1:6" x14ac:dyDescent="0.25">
      <c r="A32" s="17"/>
      <c r="B32" s="29"/>
      <c r="C32" s="29"/>
      <c r="D32" s="24"/>
      <c r="E32" s="20"/>
      <c r="F32" s="23"/>
    </row>
    <row r="33" spans="1:6" x14ac:dyDescent="0.25">
      <c r="A33" s="17"/>
      <c r="B33" s="29"/>
      <c r="C33" s="29"/>
      <c r="D33" s="24"/>
      <c r="E33" s="21"/>
      <c r="F33" s="23"/>
    </row>
    <row r="34" spans="1:6" x14ac:dyDescent="0.25">
      <c r="A34" s="17"/>
      <c r="B34" s="29"/>
      <c r="C34" s="29"/>
      <c r="D34" s="24"/>
      <c r="E34" s="21"/>
      <c r="F34" s="23"/>
    </row>
    <row r="35" spans="1:6" x14ac:dyDescent="0.25">
      <c r="A35" s="17"/>
      <c r="B35" s="29"/>
      <c r="C35" s="29"/>
      <c r="D35" s="24"/>
      <c r="E35" s="21"/>
      <c r="F35" s="23"/>
    </row>
    <row r="36" spans="1:6" x14ac:dyDescent="0.25">
      <c r="A36" s="17"/>
      <c r="B36" s="29"/>
      <c r="C36" s="29"/>
      <c r="D36" s="24"/>
      <c r="E36" s="21"/>
      <c r="F36" s="23"/>
    </row>
    <row r="37" spans="1:6" x14ac:dyDescent="0.25">
      <c r="A37" s="17"/>
      <c r="B37" s="29"/>
      <c r="C37" s="29"/>
      <c r="D37" s="24"/>
      <c r="E37" s="21"/>
      <c r="F37" s="23"/>
    </row>
    <row r="38" spans="1:6" x14ac:dyDescent="0.25">
      <c r="A38" s="17"/>
      <c r="B38" s="29"/>
      <c r="C38" s="29"/>
      <c r="D38" s="24"/>
      <c r="E38" s="21"/>
      <c r="F38" s="23"/>
    </row>
    <row r="39" spans="1:6" x14ac:dyDescent="0.25">
      <c r="A39" s="17"/>
      <c r="B39" s="29"/>
      <c r="C39" s="29"/>
      <c r="D39" s="24"/>
      <c r="E39" s="21"/>
      <c r="F39" s="23"/>
    </row>
    <row r="40" spans="1:6" x14ac:dyDescent="0.25">
      <c r="A40" s="17"/>
      <c r="B40" s="29"/>
      <c r="C40" s="29"/>
      <c r="D40" s="24"/>
      <c r="E40" s="21"/>
      <c r="F40" s="23"/>
    </row>
    <row r="41" spans="1:6" x14ac:dyDescent="0.25">
      <c r="A41" s="17"/>
      <c r="B41" s="29"/>
      <c r="C41" s="29"/>
      <c r="D41" s="24"/>
      <c r="E41" s="21"/>
      <c r="F41" s="23"/>
    </row>
    <row r="42" spans="1:6" x14ac:dyDescent="0.25">
      <c r="A42" s="17"/>
      <c r="B42" s="29"/>
      <c r="C42" s="29"/>
      <c r="D42" s="24"/>
      <c r="E42" s="21"/>
      <c r="F42" s="23"/>
    </row>
    <row r="43" spans="1:6" x14ac:dyDescent="0.25">
      <c r="A43" s="17"/>
      <c r="B43" s="29"/>
      <c r="C43" s="29"/>
      <c r="D43" s="24"/>
      <c r="E43" s="21"/>
      <c r="F43" s="23"/>
    </row>
    <row r="44" spans="1:6" x14ac:dyDescent="0.25">
      <c r="A44" s="17"/>
      <c r="B44" s="29"/>
      <c r="C44" s="29"/>
      <c r="D44" s="24"/>
      <c r="E44" s="21"/>
      <c r="F44" s="23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36</v>
      </c>
      <c r="B1" s="2" t="s">
        <v>45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17.600000000000001</v>
      </c>
      <c r="C2" s="26">
        <v>-9.9903006789524706</v>
      </c>
      <c r="D2" s="4">
        <f>B2*C2/100</f>
        <v>-1.7582929194956349</v>
      </c>
    </row>
    <row r="3" spans="1:4" x14ac:dyDescent="0.25">
      <c r="A3" s="4" t="s">
        <v>15</v>
      </c>
      <c r="B3" s="4">
        <v>5.71</v>
      </c>
      <c r="C3" s="26">
        <v>8.7493821057834893</v>
      </c>
      <c r="D3" s="4">
        <f t="shared" ref="D3:D26" si="0">B3*C3/100</f>
        <v>0.49958971824023718</v>
      </c>
    </row>
    <row r="4" spans="1:4" x14ac:dyDescent="0.25">
      <c r="A4" s="4" t="s">
        <v>12</v>
      </c>
      <c r="B4" s="4">
        <v>18.09</v>
      </c>
      <c r="C4" s="26">
        <v>6.1340206185566997</v>
      </c>
      <c r="D4" s="4">
        <f t="shared" si="0"/>
        <v>1.109644329896907</v>
      </c>
    </row>
    <row r="5" spans="1:4" x14ac:dyDescent="0.25">
      <c r="A5" s="4" t="s">
        <v>13</v>
      </c>
      <c r="B5" s="4">
        <v>15.74</v>
      </c>
      <c r="C5" s="26">
        <v>-7.7165354330708604</v>
      </c>
      <c r="D5" s="4">
        <f t="shared" si="0"/>
        <v>-1.2145826771653534</v>
      </c>
    </row>
    <row r="6" spans="1:4" x14ac:dyDescent="0.25">
      <c r="A6" s="4" t="s">
        <v>9</v>
      </c>
      <c r="B6" s="4">
        <v>4.63</v>
      </c>
      <c r="C6" s="26">
        <v>-9.9505998588567302</v>
      </c>
      <c r="D6" s="4">
        <f t="shared" si="0"/>
        <v>-0.46071277346506662</v>
      </c>
    </row>
    <row r="7" spans="1:4" x14ac:dyDescent="0.25">
      <c r="A7" s="4" t="s">
        <v>0</v>
      </c>
      <c r="B7" s="4">
        <v>2.91</v>
      </c>
      <c r="C7" s="26">
        <v>2.3255813953488298</v>
      </c>
      <c r="D7" s="4">
        <f t="shared" si="0"/>
        <v>6.7674418604650954E-2</v>
      </c>
    </row>
    <row r="8" spans="1:4" x14ac:dyDescent="0.25">
      <c r="A8" s="4" t="s">
        <v>29</v>
      </c>
      <c r="B8" s="4">
        <v>4.84</v>
      </c>
      <c r="C8" s="26">
        <v>-1.45278450363196</v>
      </c>
      <c r="D8" s="4">
        <f t="shared" si="0"/>
        <v>-7.0314769975786853E-2</v>
      </c>
    </row>
    <row r="9" spans="1:4" x14ac:dyDescent="0.25">
      <c r="A9" s="4" t="s">
        <v>46</v>
      </c>
      <c r="B9" s="4">
        <v>2.82</v>
      </c>
      <c r="C9" s="26">
        <v>-5.3508771929824501</v>
      </c>
      <c r="D9" s="4">
        <f t="shared" si="0"/>
        <v>-0.15089473684210508</v>
      </c>
    </row>
    <row r="10" spans="1:4" x14ac:dyDescent="0.25">
      <c r="A10" s="4" t="s">
        <v>6</v>
      </c>
      <c r="B10" s="4">
        <v>2.75</v>
      </c>
      <c r="C10" s="26">
        <v>2.68965517241379</v>
      </c>
      <c r="D10" s="4">
        <f t="shared" si="0"/>
        <v>7.3965517241379231E-2</v>
      </c>
    </row>
    <row r="11" spans="1:4" x14ac:dyDescent="0.25">
      <c r="A11" s="4" t="s">
        <v>17</v>
      </c>
      <c r="B11" s="4">
        <v>1.89</v>
      </c>
      <c r="C11" s="26">
        <v>-3.0558482613277098</v>
      </c>
      <c r="D11" s="4">
        <f t="shared" si="0"/>
        <v>-5.7755532139093714E-2</v>
      </c>
    </row>
    <row r="12" spans="1:4" x14ac:dyDescent="0.25">
      <c r="A12" s="4" t="s">
        <v>32</v>
      </c>
      <c r="B12" s="4">
        <v>1.1100000000000001</v>
      </c>
      <c r="C12" s="26">
        <v>-9.9815157116451001</v>
      </c>
      <c r="D12" s="4">
        <f t="shared" si="0"/>
        <v>-0.11079482439926062</v>
      </c>
    </row>
    <row r="13" spans="1:4" x14ac:dyDescent="0.25">
      <c r="A13" s="4" t="s">
        <v>84</v>
      </c>
      <c r="B13" s="4">
        <v>2.25</v>
      </c>
      <c r="C13" s="26">
        <v>-9.9601593625498008</v>
      </c>
      <c r="D13" s="4">
        <f t="shared" si="0"/>
        <v>-0.22410358565737051</v>
      </c>
    </row>
    <row r="14" spans="1:4" x14ac:dyDescent="0.25">
      <c r="A14" s="4" t="s">
        <v>3</v>
      </c>
      <c r="B14" s="4">
        <v>1.68</v>
      </c>
      <c r="C14" s="26">
        <v>1.6118200134318299</v>
      </c>
      <c r="D14" s="4">
        <f t="shared" si="0"/>
        <v>2.7078576225654741E-2</v>
      </c>
    </row>
    <row r="15" spans="1:4" x14ac:dyDescent="0.25">
      <c r="A15" s="4" t="s">
        <v>7</v>
      </c>
      <c r="B15" s="4">
        <v>0.66</v>
      </c>
      <c r="C15" s="26">
        <v>-0.99706744868035102</v>
      </c>
      <c r="D15" s="4">
        <f t="shared" si="0"/>
        <v>-6.5806451612903175E-3</v>
      </c>
    </row>
    <row r="16" spans="1:4" x14ac:dyDescent="0.25">
      <c r="A16" s="4" t="s">
        <v>27</v>
      </c>
      <c r="B16" s="4">
        <v>0.53</v>
      </c>
      <c r="C16" s="26">
        <v>-3.0439684329199501</v>
      </c>
      <c r="D16" s="4">
        <f t="shared" si="0"/>
        <v>-1.6133032694475736E-2</v>
      </c>
    </row>
    <row r="17" spans="1:4" x14ac:dyDescent="0.25">
      <c r="A17" s="4" t="s">
        <v>48</v>
      </c>
      <c r="B17" s="4">
        <v>0.38</v>
      </c>
      <c r="C17" s="26">
        <v>-0.35629453681710199</v>
      </c>
      <c r="D17" s="4">
        <f t="shared" si="0"/>
        <v>-1.3539192399049877E-3</v>
      </c>
    </row>
    <row r="18" spans="1:4" x14ac:dyDescent="0.25">
      <c r="A18" s="4" t="s">
        <v>30</v>
      </c>
      <c r="B18" s="4">
        <v>0.13</v>
      </c>
      <c r="C18" s="26">
        <v>-4.2328042328042299</v>
      </c>
      <c r="D18" s="4">
        <f t="shared" si="0"/>
        <v>-5.5026455026454986E-3</v>
      </c>
    </row>
    <row r="19" spans="1:4" x14ac:dyDescent="0.25">
      <c r="A19" s="4" t="s">
        <v>4</v>
      </c>
      <c r="B19" s="4">
        <v>1.64</v>
      </c>
      <c r="C19" s="26">
        <v>1.5625</v>
      </c>
      <c r="D19" s="4">
        <f t="shared" si="0"/>
        <v>2.5624999999999998E-2</v>
      </c>
    </row>
    <row r="20" spans="1:4" x14ac:dyDescent="0.25">
      <c r="A20" s="4" t="s">
        <v>70</v>
      </c>
      <c r="B20" s="4">
        <v>7.0000000000000007E-2</v>
      </c>
      <c r="C20" s="26">
        <v>-2.3696682464454901</v>
      </c>
      <c r="D20" s="4">
        <f t="shared" si="0"/>
        <v>-1.6587677725118434E-3</v>
      </c>
    </row>
    <row r="21" spans="1:4" x14ac:dyDescent="0.25">
      <c r="A21" s="4" t="s">
        <v>18</v>
      </c>
      <c r="B21" s="4">
        <v>0.04</v>
      </c>
      <c r="C21" s="26">
        <v>3.3913840513290499</v>
      </c>
      <c r="D21" s="4">
        <f t="shared" si="0"/>
        <v>1.3565536205316199E-3</v>
      </c>
    </row>
    <row r="22" spans="1:4" x14ac:dyDescent="0.25">
      <c r="A22" s="4" t="s">
        <v>50</v>
      </c>
      <c r="B22" s="4">
        <v>7.0000000000000007E-2</v>
      </c>
      <c r="C22" s="26">
        <v>-0.63424947145877297</v>
      </c>
      <c r="D22" s="4">
        <f t="shared" si="0"/>
        <v>-4.4397463002114113E-4</v>
      </c>
    </row>
    <row r="23" spans="1:4" x14ac:dyDescent="0.25">
      <c r="A23" s="4" t="s">
        <v>34</v>
      </c>
      <c r="B23" s="4">
        <v>12.75</v>
      </c>
      <c r="C23" s="26">
        <v>2.2999999999999998</v>
      </c>
      <c r="D23" s="4">
        <f t="shared" si="0"/>
        <v>0.29325000000000001</v>
      </c>
    </row>
    <row r="24" spans="1:4" x14ac:dyDescent="0.25">
      <c r="A24" s="4" t="s">
        <v>35</v>
      </c>
      <c r="B24" s="4">
        <v>11.25</v>
      </c>
      <c r="C24" s="26">
        <v>0.05</v>
      </c>
      <c r="D24" s="4">
        <f t="shared" si="0"/>
        <v>5.6249999999999998E-3</v>
      </c>
    </row>
    <row r="25" spans="1:4" x14ac:dyDescent="0.25">
      <c r="A25" s="4" t="s">
        <v>47</v>
      </c>
      <c r="B25" s="4">
        <v>1.66</v>
      </c>
      <c r="C25" s="3">
        <v>0.41</v>
      </c>
      <c r="D25" s="4">
        <f t="shared" si="0"/>
        <v>6.8059999999999987E-3</v>
      </c>
    </row>
    <row r="26" spans="1:4" x14ac:dyDescent="0.25">
      <c r="A26" s="4" t="s">
        <v>86</v>
      </c>
      <c r="B26" s="4">
        <v>0.02</v>
      </c>
      <c r="C26" s="3">
        <v>-0.11</v>
      </c>
      <c r="D26" s="4">
        <f t="shared" si="0"/>
        <v>-2.2000000000000003E-5</v>
      </c>
    </row>
    <row r="27" spans="1:4" x14ac:dyDescent="0.25">
      <c r="A27" s="12" t="s">
        <v>52</v>
      </c>
      <c r="B27" s="5">
        <f>SUM(B2:B26)</f>
        <v>111.21999999999998</v>
      </c>
      <c r="D27" s="6">
        <f>SUM(D2:D26)</f>
        <v>-1.9685316903111605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4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6"/>
    </row>
    <row r="50" spans="1:6" x14ac:dyDescent="0.25">
      <c r="A50" s="29"/>
      <c r="B50" s="29"/>
      <c r="C50" s="9"/>
      <c r="D50" s="9"/>
    </row>
    <row r="55" spans="1:6" x14ac:dyDescent="0.25">
      <c r="A55" s="5"/>
      <c r="B55" s="30"/>
      <c r="C55" s="30"/>
      <c r="D55" s="19"/>
      <c r="E55" s="5"/>
      <c r="F55" s="5"/>
    </row>
    <row r="56" spans="1:6" x14ac:dyDescent="0.25">
      <c r="A56" s="17"/>
      <c r="B56" s="29"/>
      <c r="C56" s="29"/>
      <c r="D56" s="20"/>
      <c r="E56" s="20"/>
      <c r="F56" s="23"/>
    </row>
    <row r="57" spans="1:6" x14ac:dyDescent="0.25">
      <c r="A57" s="17"/>
      <c r="B57" s="29"/>
      <c r="C57" s="29"/>
      <c r="D57" s="20"/>
      <c r="E57" s="20"/>
      <c r="F57" s="23"/>
    </row>
    <row r="58" spans="1:6" x14ac:dyDescent="0.25">
      <c r="A58" s="17"/>
      <c r="B58" s="29"/>
      <c r="C58" s="29"/>
      <c r="D58" s="20"/>
      <c r="E58" s="20"/>
      <c r="F58" s="23"/>
    </row>
    <row r="59" spans="1:6" x14ac:dyDescent="0.25">
      <c r="A59" s="17"/>
      <c r="B59" s="29"/>
      <c r="C59" s="29"/>
      <c r="D59" s="20"/>
      <c r="E59" s="20"/>
      <c r="F59" s="23"/>
    </row>
    <row r="60" spans="1:6" x14ac:dyDescent="0.25">
      <c r="A60" s="17"/>
      <c r="B60" s="29"/>
      <c r="C60" s="29"/>
      <c r="D60" s="20"/>
      <c r="E60" s="20"/>
      <c r="F60" s="23"/>
    </row>
    <row r="61" spans="1:6" x14ac:dyDescent="0.25">
      <c r="A61" s="17"/>
      <c r="B61" s="29"/>
      <c r="C61" s="29"/>
      <c r="D61" s="20"/>
      <c r="E61" s="20"/>
      <c r="F61" s="23"/>
    </row>
    <row r="62" spans="1:6" x14ac:dyDescent="0.25">
      <c r="A62" s="17"/>
      <c r="B62" s="29"/>
      <c r="C62" s="29"/>
      <c r="D62" s="20"/>
      <c r="E62" s="20"/>
      <c r="F62" s="23"/>
    </row>
    <row r="63" spans="1:6" x14ac:dyDescent="0.25">
      <c r="A63" s="17"/>
      <c r="B63" s="29"/>
      <c r="C63" s="29"/>
      <c r="D63" s="20"/>
      <c r="E63" s="20"/>
      <c r="F63" s="23"/>
    </row>
    <row r="64" spans="1:6" x14ac:dyDescent="0.25">
      <c r="A64" s="17"/>
      <c r="B64" s="29"/>
      <c r="C64" s="29"/>
      <c r="D64" s="20"/>
      <c r="E64" s="20"/>
      <c r="F64" s="23"/>
    </row>
    <row r="65" spans="1:6" x14ac:dyDescent="0.25">
      <c r="A65" s="17"/>
      <c r="B65" s="29"/>
      <c r="C65" s="29"/>
      <c r="D65" s="20"/>
      <c r="E65" s="20"/>
      <c r="F65" s="23"/>
    </row>
    <row r="66" spans="1:6" x14ac:dyDescent="0.25">
      <c r="A66" s="17"/>
      <c r="B66" s="29"/>
      <c r="C66" s="29"/>
      <c r="D66" s="20"/>
      <c r="E66" s="20"/>
      <c r="F66" s="23"/>
    </row>
    <row r="67" spans="1:6" x14ac:dyDescent="0.25">
      <c r="A67" s="17"/>
      <c r="B67" s="29"/>
      <c r="C67" s="29"/>
      <c r="D67" s="20"/>
      <c r="E67" s="20"/>
      <c r="F67" s="23"/>
    </row>
    <row r="68" spans="1:6" x14ac:dyDescent="0.25">
      <c r="A68" s="17"/>
      <c r="B68" s="29"/>
      <c r="C68" s="29"/>
      <c r="D68" s="20"/>
      <c r="E68" s="20"/>
      <c r="F68" s="23"/>
    </row>
    <row r="69" spans="1:6" x14ac:dyDescent="0.25">
      <c r="A69" s="17"/>
      <c r="B69" s="29"/>
      <c r="C69" s="29"/>
      <c r="D69" s="18"/>
      <c r="E69" s="21"/>
      <c r="F69" s="23"/>
    </row>
    <row r="70" spans="1:6" x14ac:dyDescent="0.25">
      <c r="A70" s="17"/>
      <c r="B70" s="29"/>
      <c r="C70" s="29"/>
      <c r="D70" s="18"/>
      <c r="E70" s="21"/>
      <c r="F70" s="23"/>
    </row>
    <row r="71" spans="1:6" x14ac:dyDescent="0.25">
      <c r="A71" s="17"/>
      <c r="B71" s="29"/>
      <c r="C71" s="29"/>
      <c r="D71" s="18"/>
      <c r="E71" s="21"/>
      <c r="F71" s="23"/>
    </row>
    <row r="72" spans="1:6" x14ac:dyDescent="0.25">
      <c r="A72" s="17"/>
      <c r="B72" s="29"/>
      <c r="C72" s="29"/>
      <c r="D72" s="18"/>
      <c r="E72" s="21"/>
      <c r="F72" s="23"/>
    </row>
    <row r="73" spans="1:6" x14ac:dyDescent="0.25">
      <c r="A73" s="17"/>
      <c r="B73" s="29"/>
      <c r="C73" s="29"/>
      <c r="D73" s="18"/>
      <c r="E73" s="21"/>
      <c r="F73" s="23"/>
    </row>
    <row r="74" spans="1:6" x14ac:dyDescent="0.25">
      <c r="A74" s="17"/>
      <c r="B74" s="29"/>
      <c r="C74" s="29"/>
      <c r="D74" s="18"/>
      <c r="E74" s="21"/>
      <c r="F74" s="23"/>
    </row>
    <row r="75" spans="1:6" x14ac:dyDescent="0.25">
      <c r="A75" s="17"/>
      <c r="B75" s="29"/>
      <c r="C75" s="29"/>
      <c r="D75" s="18"/>
      <c r="E75" s="21"/>
      <c r="F75" s="23"/>
    </row>
    <row r="76" spans="1:6" x14ac:dyDescent="0.25">
      <c r="A76" s="17"/>
      <c r="B76" s="29"/>
      <c r="C76" s="29"/>
      <c r="D76" s="18"/>
      <c r="E76" s="21"/>
      <c r="F76" s="23"/>
    </row>
    <row r="77" spans="1:6" x14ac:dyDescent="0.25">
      <c r="A77" s="17"/>
      <c r="B77" s="29"/>
      <c r="C77" s="29"/>
      <c r="D77" s="18"/>
      <c r="E77" s="21"/>
      <c r="F77" s="23"/>
    </row>
    <row r="78" spans="1:6" x14ac:dyDescent="0.25">
      <c r="A78" s="17"/>
      <c r="B78" s="29"/>
      <c r="C78" s="29"/>
      <c r="D78" s="18"/>
      <c r="E78" s="21"/>
      <c r="F78" s="23"/>
    </row>
    <row r="79" spans="1:6" x14ac:dyDescent="0.25">
      <c r="A79" s="17"/>
      <c r="B79" s="29"/>
      <c r="C79" s="29"/>
      <c r="D79" s="18"/>
      <c r="E79" s="21"/>
      <c r="F79" s="23"/>
    </row>
    <row r="80" spans="1:6" x14ac:dyDescent="0.25">
      <c r="A80" s="17"/>
      <c r="B80" s="29"/>
      <c r="C80" s="29"/>
      <c r="D80" s="18"/>
      <c r="E80" s="21"/>
      <c r="F80" s="23"/>
    </row>
    <row r="81" spans="1:6" x14ac:dyDescent="0.25">
      <c r="A81" s="17"/>
      <c r="B81" s="29"/>
      <c r="C81" s="29"/>
      <c r="D81" s="18"/>
      <c r="E81" s="21"/>
      <c r="F81" s="23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5" x14ac:dyDescent="0.25">
      <c r="A2" s="4" t="s">
        <v>41</v>
      </c>
      <c r="B2" s="4">
        <v>45.13</v>
      </c>
      <c r="C2" s="8">
        <v>1.82305630026809</v>
      </c>
      <c r="D2" s="28">
        <f>B2*C2/100</f>
        <v>0.82274530831098902</v>
      </c>
    </row>
    <row r="3" spans="1:5" x14ac:dyDescent="0.25">
      <c r="A3" s="4" t="s">
        <v>38</v>
      </c>
      <c r="B3" s="4">
        <v>3.16</v>
      </c>
      <c r="C3" s="8">
        <v>-2.3474178403755799</v>
      </c>
      <c r="D3" s="28">
        <f t="shared" ref="D3:D9" si="0">B3*C3/100</f>
        <v>-7.417840375586833E-2</v>
      </c>
    </row>
    <row r="4" spans="1:5" x14ac:dyDescent="0.25">
      <c r="A4" s="4" t="s">
        <v>39</v>
      </c>
      <c r="B4" s="4">
        <v>7.0000000000000007E-2</v>
      </c>
      <c r="C4" s="8">
        <v>2.8114663726571099</v>
      </c>
      <c r="D4" s="28">
        <f t="shared" si="0"/>
        <v>1.9680264608599772E-3</v>
      </c>
    </row>
    <row r="5" spans="1:5" x14ac:dyDescent="0.25">
      <c r="A5" s="4" t="s">
        <v>40</v>
      </c>
      <c r="B5" s="4">
        <v>26.21</v>
      </c>
      <c r="C5" s="4">
        <v>-0.68</v>
      </c>
      <c r="D5" s="28">
        <f t="shared" si="0"/>
        <v>-0.178228</v>
      </c>
    </row>
    <row r="6" spans="1:5" x14ac:dyDescent="0.25">
      <c r="A6" s="4" t="s">
        <v>87</v>
      </c>
      <c r="B6" s="4">
        <v>5.29</v>
      </c>
      <c r="C6" s="4">
        <v>0.38</v>
      </c>
      <c r="D6" s="28">
        <f t="shared" si="0"/>
        <v>2.0102000000000002E-2</v>
      </c>
    </row>
    <row r="7" spans="1:5" x14ac:dyDescent="0.25">
      <c r="A7" s="4" t="s">
        <v>88</v>
      </c>
      <c r="B7" s="4">
        <v>0.43</v>
      </c>
      <c r="C7" s="4">
        <v>-9.91</v>
      </c>
      <c r="D7" s="28">
        <f t="shared" si="0"/>
        <v>-4.2613000000000005E-2</v>
      </c>
    </row>
    <row r="8" spans="1:5" x14ac:dyDescent="0.25">
      <c r="A8" s="4" t="s">
        <v>89</v>
      </c>
      <c r="B8" s="4">
        <v>0.13</v>
      </c>
      <c r="C8" s="4">
        <v>0.32</v>
      </c>
      <c r="D8" s="28">
        <f t="shared" si="0"/>
        <v>4.1600000000000003E-4</v>
      </c>
    </row>
    <row r="9" spans="1:5" x14ac:dyDescent="0.25">
      <c r="A9" s="4" t="s">
        <v>90</v>
      </c>
      <c r="B9" s="4">
        <v>0.03</v>
      </c>
      <c r="C9" s="4">
        <v>0.21</v>
      </c>
      <c r="D9" s="28">
        <f t="shared" si="0"/>
        <v>6.2999999999999986E-5</v>
      </c>
      <c r="E9" s="4"/>
    </row>
    <row r="10" spans="1:5" x14ac:dyDescent="0.25">
      <c r="A10" s="12" t="s">
        <v>52</v>
      </c>
      <c r="B10" s="5">
        <f>B2++B3+B4+B5+B6+B7+B8+B9</f>
        <v>80.450000000000017</v>
      </c>
      <c r="C10" s="4"/>
      <c r="D10" s="6">
        <f>D2+D3+D4+D5+D6+D7+D8+D9</f>
        <v>0.55027493101598068</v>
      </c>
      <c r="E10" s="16"/>
    </row>
    <row r="11" spans="1:5" x14ac:dyDescent="0.25">
      <c r="A11" s="29"/>
      <c r="B11" s="29"/>
      <c r="C11" s="10"/>
      <c r="D11" s="10"/>
    </row>
    <row r="31" spans="1:6" x14ac:dyDescent="0.25">
      <c r="A31" s="5"/>
      <c r="B31" s="30"/>
      <c r="C31" s="30"/>
      <c r="D31" s="19"/>
      <c r="E31" s="5"/>
      <c r="F31" s="5"/>
    </row>
    <row r="32" spans="1:6" x14ac:dyDescent="0.25">
      <c r="A32" s="22"/>
      <c r="B32" s="29"/>
      <c r="C32" s="29"/>
      <c r="D32" s="20"/>
      <c r="E32" s="20"/>
      <c r="F32" s="23"/>
    </row>
    <row r="33" spans="1:6" x14ac:dyDescent="0.25">
      <c r="A33" s="22"/>
      <c r="B33" s="29"/>
      <c r="C33" s="29"/>
      <c r="D33" s="20"/>
      <c r="E33" s="20"/>
      <c r="F33" s="23"/>
    </row>
    <row r="34" spans="1:6" x14ac:dyDescent="0.25">
      <c r="A34" s="22"/>
      <c r="B34" s="29"/>
      <c r="C34" s="29"/>
      <c r="D34" s="20"/>
      <c r="E34" s="20"/>
      <c r="F34" s="23"/>
    </row>
    <row r="35" spans="1:6" x14ac:dyDescent="0.25">
      <c r="A35" s="22"/>
      <c r="B35" s="29"/>
      <c r="C35" s="29"/>
      <c r="D35" s="20"/>
      <c r="E35" s="20"/>
      <c r="F35" s="23"/>
    </row>
    <row r="36" spans="1:6" x14ac:dyDescent="0.25">
      <c r="A36" s="22"/>
      <c r="B36" s="29"/>
      <c r="C36" s="29"/>
      <c r="D36" s="20"/>
      <c r="E36" s="20"/>
      <c r="F36" s="23"/>
    </row>
    <row r="37" spans="1:6" x14ac:dyDescent="0.25">
      <c r="A37" s="22"/>
      <c r="B37" s="29"/>
      <c r="C37" s="29"/>
      <c r="D37" s="20"/>
      <c r="E37" s="20"/>
      <c r="F37" s="23"/>
    </row>
    <row r="38" spans="1:6" x14ac:dyDescent="0.25">
      <c r="A38" s="22"/>
      <c r="B38" s="29"/>
      <c r="C38" s="29"/>
      <c r="D38" s="20"/>
      <c r="E38" s="20"/>
      <c r="F38" s="23"/>
    </row>
    <row r="39" spans="1:6" x14ac:dyDescent="0.25">
      <c r="A39" s="22"/>
      <c r="B39" s="29"/>
      <c r="C39" s="29"/>
      <c r="D39" s="20"/>
      <c r="E39" s="20"/>
      <c r="F39" s="23"/>
    </row>
    <row r="40" spans="1:6" x14ac:dyDescent="0.25">
      <c r="A40" s="22"/>
      <c r="B40" s="29"/>
      <c r="C40" s="29"/>
      <c r="D40" s="20"/>
      <c r="E40" s="20"/>
      <c r="F40" s="23"/>
    </row>
    <row r="41" spans="1:6" x14ac:dyDescent="0.25">
      <c r="A41" s="22"/>
      <c r="B41" s="29"/>
      <c r="C41" s="29"/>
      <c r="D41" s="20"/>
      <c r="E41" s="20"/>
      <c r="F41" s="23"/>
    </row>
    <row r="42" spans="1:6" x14ac:dyDescent="0.25">
      <c r="A42" s="22"/>
      <c r="B42" s="29"/>
      <c r="C42" s="29"/>
      <c r="D42" s="20"/>
      <c r="E42" s="20"/>
      <c r="F42" s="23"/>
    </row>
    <row r="43" spans="1:6" x14ac:dyDescent="0.25">
      <c r="A43" s="22"/>
      <c r="B43" s="29"/>
      <c r="C43" s="29"/>
      <c r="D43" s="20"/>
      <c r="E43" s="20"/>
      <c r="F43" s="23"/>
    </row>
    <row r="44" spans="1:6" x14ac:dyDescent="0.25">
      <c r="A44" s="22"/>
      <c r="B44" s="29"/>
      <c r="C44" s="29"/>
      <c r="D44" s="20"/>
      <c r="E44" s="20"/>
      <c r="F44" s="23"/>
    </row>
    <row r="45" spans="1:6" x14ac:dyDescent="0.25">
      <c r="A45" s="22"/>
      <c r="B45" s="29"/>
      <c r="C45" s="29"/>
      <c r="D45" s="20"/>
      <c r="E45" s="20"/>
      <c r="F45" s="23"/>
    </row>
    <row r="46" spans="1:6" x14ac:dyDescent="0.25">
      <c r="A46" s="22"/>
      <c r="B46" s="29"/>
      <c r="C46" s="29"/>
      <c r="D46" s="20"/>
      <c r="E46" s="20"/>
      <c r="F46" s="23"/>
    </row>
    <row r="47" spans="1:6" x14ac:dyDescent="0.25">
      <c r="A47" s="22"/>
      <c r="B47" s="29"/>
      <c r="C47" s="29"/>
      <c r="D47" s="20"/>
      <c r="E47" s="20"/>
      <c r="F47" s="23"/>
    </row>
    <row r="48" spans="1:6" x14ac:dyDescent="0.25">
      <c r="A48" s="22"/>
      <c r="B48" s="29"/>
      <c r="C48" s="29"/>
      <c r="D48" s="20"/>
      <c r="E48" s="20"/>
      <c r="F48" s="23"/>
    </row>
    <row r="49" spans="1:6" x14ac:dyDescent="0.25">
      <c r="A49" s="22"/>
      <c r="B49" s="29"/>
      <c r="C49" s="29"/>
      <c r="D49" s="20"/>
      <c r="E49" s="20"/>
      <c r="F49" s="23"/>
    </row>
    <row r="50" spans="1:6" x14ac:dyDescent="0.25">
      <c r="A50" s="22"/>
      <c r="B50" s="29"/>
      <c r="C50" s="29"/>
      <c r="D50" s="20"/>
      <c r="E50" s="20"/>
      <c r="F50" s="23"/>
    </row>
    <row r="51" spans="1:6" x14ac:dyDescent="0.25">
      <c r="A51" s="22"/>
      <c r="B51" s="29"/>
      <c r="C51" s="29"/>
      <c r="D51" s="20"/>
      <c r="E51" s="20"/>
      <c r="F51" s="23"/>
    </row>
    <row r="52" spans="1:6" x14ac:dyDescent="0.25">
      <c r="A52" s="22"/>
      <c r="B52" s="29"/>
      <c r="C52" s="29"/>
      <c r="D52" s="20"/>
      <c r="E52" s="20"/>
      <c r="F52" s="23"/>
    </row>
    <row r="53" spans="1:6" x14ac:dyDescent="0.25">
      <c r="A53" s="22"/>
      <c r="B53" s="29"/>
      <c r="C53" s="29"/>
      <c r="D53" s="20"/>
      <c r="E53" s="20"/>
      <c r="F53" s="23"/>
    </row>
    <row r="54" spans="1:6" x14ac:dyDescent="0.25">
      <c r="A54" s="22"/>
      <c r="B54" s="29"/>
      <c r="C54" s="29"/>
      <c r="D54" s="20"/>
      <c r="E54" s="20"/>
      <c r="F54" s="23"/>
    </row>
    <row r="55" spans="1:6" x14ac:dyDescent="0.25">
      <c r="A55" s="22"/>
      <c r="B55" s="29"/>
      <c r="C55" s="29"/>
      <c r="D55" s="20"/>
      <c r="E55" s="20"/>
      <c r="F55" s="23"/>
    </row>
    <row r="56" spans="1:6" x14ac:dyDescent="0.25">
      <c r="A56" s="22"/>
      <c r="B56" s="29"/>
      <c r="C56" s="29"/>
      <c r="D56" s="20"/>
      <c r="E56" s="20"/>
      <c r="F56" s="23"/>
    </row>
    <row r="57" spans="1:6" x14ac:dyDescent="0.25">
      <c r="A57" s="22"/>
      <c r="B57" s="29"/>
      <c r="C57" s="29"/>
      <c r="D57" s="20"/>
      <c r="E57" s="20"/>
      <c r="F57" s="23"/>
    </row>
    <row r="58" spans="1:6" x14ac:dyDescent="0.25">
      <c r="A58" s="22"/>
      <c r="B58" s="29"/>
      <c r="C58" s="29"/>
      <c r="D58" s="20"/>
      <c r="E58" s="20"/>
      <c r="F58" s="23"/>
    </row>
    <row r="59" spans="1:6" x14ac:dyDescent="0.25">
      <c r="A59" s="22"/>
      <c r="B59" s="29"/>
      <c r="C59" s="29"/>
      <c r="D59" s="20"/>
      <c r="E59" s="20"/>
      <c r="F59" s="23"/>
    </row>
    <row r="60" spans="1:6" x14ac:dyDescent="0.25">
      <c r="A60" s="22"/>
      <c r="B60" s="29"/>
      <c r="C60" s="29"/>
      <c r="D60" s="20"/>
      <c r="E60" s="20"/>
      <c r="F60" s="23"/>
    </row>
    <row r="61" spans="1:6" x14ac:dyDescent="0.25">
      <c r="A61" s="22"/>
      <c r="B61" s="29"/>
      <c r="C61" s="29"/>
      <c r="D61" s="20"/>
      <c r="E61" s="20"/>
      <c r="F61" s="23"/>
    </row>
    <row r="62" spans="1:6" x14ac:dyDescent="0.25">
      <c r="A62" s="22"/>
      <c r="B62" s="29"/>
      <c r="C62" s="29"/>
      <c r="D62" s="20"/>
      <c r="E62" s="20"/>
      <c r="F62" s="23"/>
    </row>
    <row r="63" spans="1:6" x14ac:dyDescent="0.25">
      <c r="A63" s="22"/>
      <c r="B63" s="29"/>
      <c r="C63" s="29"/>
      <c r="D63" s="20"/>
      <c r="E63" s="20"/>
      <c r="F63" s="23"/>
    </row>
    <row r="64" spans="1:6" x14ac:dyDescent="0.25">
      <c r="A64" s="22"/>
      <c r="B64" s="29"/>
      <c r="C64" s="29"/>
      <c r="D64" s="20"/>
      <c r="E64" s="20"/>
      <c r="F64" s="23"/>
    </row>
    <row r="65" spans="1:6" x14ac:dyDescent="0.25">
      <c r="A65" s="22"/>
      <c r="B65" s="29"/>
      <c r="C65" s="29"/>
      <c r="D65" s="20"/>
      <c r="E65" s="20"/>
      <c r="F65" s="23"/>
    </row>
    <row r="66" spans="1:6" x14ac:dyDescent="0.25">
      <c r="A66" s="22"/>
      <c r="B66" s="29"/>
      <c r="C66" s="29"/>
      <c r="D66" s="20"/>
      <c r="E66" s="20"/>
      <c r="F66" s="23"/>
    </row>
    <row r="67" spans="1:6" x14ac:dyDescent="0.25">
      <c r="A67" s="22"/>
      <c r="B67" s="29"/>
      <c r="C67" s="29"/>
      <c r="D67" s="20"/>
      <c r="E67" s="20"/>
      <c r="F67" s="23"/>
    </row>
    <row r="68" spans="1:6" x14ac:dyDescent="0.25">
      <c r="A68" s="22"/>
      <c r="B68" s="29"/>
      <c r="C68" s="29"/>
      <c r="D68" s="20"/>
      <c r="E68" s="20"/>
      <c r="F68" s="23"/>
    </row>
    <row r="69" spans="1:6" x14ac:dyDescent="0.25">
      <c r="A69" s="22"/>
      <c r="B69" s="29"/>
      <c r="C69" s="29"/>
      <c r="D69" s="20"/>
      <c r="E69" s="20"/>
      <c r="F69" s="23"/>
    </row>
    <row r="70" spans="1:6" x14ac:dyDescent="0.25">
      <c r="A70" s="22"/>
      <c r="B70" s="29"/>
      <c r="C70" s="29"/>
      <c r="D70" s="20"/>
      <c r="E70" s="20"/>
      <c r="F70" s="23"/>
    </row>
    <row r="71" spans="1:6" x14ac:dyDescent="0.25">
      <c r="A71" s="22"/>
      <c r="B71" s="29"/>
      <c r="C71" s="29"/>
      <c r="D71" s="20"/>
      <c r="E71" s="20"/>
      <c r="F71" s="23"/>
    </row>
    <row r="72" spans="1:6" x14ac:dyDescent="0.25">
      <c r="A72" s="22"/>
      <c r="B72" s="29"/>
      <c r="C72" s="29"/>
      <c r="D72" s="20"/>
      <c r="E72" s="20"/>
      <c r="F72" s="23"/>
    </row>
    <row r="73" spans="1:6" x14ac:dyDescent="0.25">
      <c r="A73" s="22"/>
      <c r="B73" s="29"/>
      <c r="C73" s="29"/>
      <c r="D73" s="20"/>
      <c r="E73" s="20"/>
      <c r="F73" s="23"/>
    </row>
    <row r="74" spans="1:6" x14ac:dyDescent="0.25">
      <c r="A74" s="22"/>
      <c r="B74" s="29"/>
      <c r="C74" s="29"/>
      <c r="D74" s="20"/>
      <c r="E74" s="20"/>
      <c r="F74" s="23"/>
    </row>
    <row r="75" spans="1:6" x14ac:dyDescent="0.25">
      <c r="A75" s="22"/>
      <c r="B75" s="29"/>
      <c r="C75" s="29"/>
      <c r="D75" s="20"/>
      <c r="E75" s="20"/>
      <c r="F75" s="23"/>
    </row>
    <row r="76" spans="1:6" x14ac:dyDescent="0.25">
      <c r="A76" s="22"/>
      <c r="B76" s="29"/>
      <c r="C76" s="29"/>
      <c r="D76" s="20"/>
      <c r="E76" s="20"/>
      <c r="F76" s="23"/>
    </row>
    <row r="77" spans="1:6" x14ac:dyDescent="0.25">
      <c r="A77" s="22"/>
      <c r="B77" s="29"/>
      <c r="C77" s="29"/>
      <c r="D77" s="20"/>
      <c r="E77" s="20"/>
      <c r="F77" s="23"/>
    </row>
    <row r="78" spans="1:6" x14ac:dyDescent="0.25">
      <c r="A78" s="22"/>
      <c r="B78" s="29"/>
      <c r="C78" s="29"/>
      <c r="D78" s="20"/>
      <c r="E78" s="20"/>
      <c r="F78" s="23"/>
    </row>
    <row r="79" spans="1:6" x14ac:dyDescent="0.25">
      <c r="A79" s="22"/>
      <c r="B79" s="29"/>
      <c r="C79" s="29"/>
      <c r="D79" s="20"/>
      <c r="E79" s="20"/>
      <c r="F79" s="23"/>
    </row>
    <row r="80" spans="1:6" x14ac:dyDescent="0.25">
      <c r="A80" s="22"/>
      <c r="B80" s="29"/>
      <c r="C80" s="29"/>
      <c r="D80" s="20"/>
      <c r="E80" s="20"/>
      <c r="F80" s="23"/>
    </row>
    <row r="81" spans="1:6" x14ac:dyDescent="0.25">
      <c r="A81" s="22"/>
      <c r="B81" s="29"/>
      <c r="C81" s="29"/>
      <c r="D81" s="20"/>
      <c r="E81" s="20"/>
      <c r="F81" s="23"/>
    </row>
    <row r="82" spans="1:6" x14ac:dyDescent="0.25">
      <c r="A82" s="22"/>
      <c r="B82" s="29"/>
      <c r="C82" s="29"/>
      <c r="D82" s="20"/>
      <c r="E82" s="20"/>
      <c r="F82" s="23"/>
    </row>
    <row r="83" spans="1:6" x14ac:dyDescent="0.25">
      <c r="A83" s="22"/>
      <c r="B83" s="29"/>
      <c r="C83" s="29"/>
      <c r="D83" s="20"/>
      <c r="E83" s="20"/>
      <c r="F83" s="23"/>
    </row>
    <row r="84" spans="1:6" x14ac:dyDescent="0.25">
      <c r="A84" s="22"/>
      <c r="B84" s="29"/>
      <c r="C84" s="29"/>
      <c r="D84" s="20"/>
      <c r="E84" s="20"/>
      <c r="F84" s="23"/>
    </row>
    <row r="85" spans="1:6" x14ac:dyDescent="0.25">
      <c r="A85" s="22"/>
      <c r="B85" s="29"/>
      <c r="C85" s="29"/>
      <c r="D85" s="20"/>
      <c r="E85" s="20"/>
      <c r="F85" s="23"/>
    </row>
    <row r="86" spans="1:6" x14ac:dyDescent="0.25">
      <c r="A86" s="22"/>
      <c r="B86" s="29"/>
      <c r="C86" s="29"/>
      <c r="D86" s="20"/>
      <c r="E86" s="20"/>
      <c r="F86" s="23"/>
    </row>
    <row r="87" spans="1:6" x14ac:dyDescent="0.25">
      <c r="A87" s="22"/>
      <c r="B87" s="29"/>
      <c r="C87" s="29"/>
      <c r="D87" s="20"/>
      <c r="E87" s="20"/>
      <c r="F87" s="23"/>
    </row>
    <row r="88" spans="1:6" x14ac:dyDescent="0.25">
      <c r="A88" s="22"/>
      <c r="B88" s="29"/>
      <c r="C88" s="29"/>
      <c r="D88" s="20"/>
      <c r="E88" s="20"/>
      <c r="F88" s="23"/>
    </row>
    <row r="89" spans="1:6" x14ac:dyDescent="0.25">
      <c r="A89" s="22"/>
      <c r="B89" s="29"/>
      <c r="C89" s="29"/>
      <c r="D89" s="20"/>
      <c r="E89" s="20"/>
      <c r="F89" s="23"/>
    </row>
    <row r="90" spans="1:6" x14ac:dyDescent="0.25">
      <c r="A90" s="22"/>
      <c r="B90" s="29"/>
      <c r="C90" s="29"/>
      <c r="D90" s="20"/>
      <c r="E90" s="20"/>
      <c r="F90" s="23"/>
    </row>
    <row r="91" spans="1:6" x14ac:dyDescent="0.25">
      <c r="A91" s="22"/>
      <c r="B91" s="29"/>
      <c r="C91" s="29"/>
      <c r="D91" s="20"/>
      <c r="E91" s="20"/>
      <c r="F91" s="23"/>
    </row>
    <row r="92" spans="1:6" x14ac:dyDescent="0.25">
      <c r="A92" s="22"/>
      <c r="B92" s="29"/>
      <c r="C92" s="29"/>
      <c r="D92" s="20"/>
      <c r="E92" s="20"/>
      <c r="F92" s="23"/>
    </row>
    <row r="93" spans="1:6" x14ac:dyDescent="0.25">
      <c r="A93" s="22"/>
      <c r="B93" s="29"/>
      <c r="C93" s="29"/>
      <c r="D93" s="20"/>
      <c r="E93" s="20"/>
      <c r="F93" s="23"/>
    </row>
    <row r="94" spans="1:6" x14ac:dyDescent="0.25">
      <c r="A94" s="22"/>
      <c r="B94" s="29"/>
      <c r="C94" s="29"/>
      <c r="D94" s="20"/>
      <c r="E94" s="20"/>
      <c r="F94" s="23"/>
    </row>
    <row r="95" spans="1:6" x14ac:dyDescent="0.25">
      <c r="A95" s="22"/>
      <c r="B95" s="29"/>
      <c r="C95" s="29"/>
      <c r="D95" s="20"/>
      <c r="E95" s="20"/>
      <c r="F95" s="23"/>
    </row>
    <row r="96" spans="1:6" x14ac:dyDescent="0.25">
      <c r="A96" s="22"/>
      <c r="B96" s="29"/>
      <c r="C96" s="29"/>
      <c r="D96" s="20"/>
      <c r="E96" s="20"/>
      <c r="F96" s="23"/>
    </row>
    <row r="97" spans="1:6" x14ac:dyDescent="0.25">
      <c r="A97" s="22"/>
      <c r="B97" s="29"/>
      <c r="C97" s="29"/>
      <c r="D97" s="20"/>
      <c r="E97" s="20"/>
      <c r="F97" s="23"/>
    </row>
    <row r="98" spans="1:6" x14ac:dyDescent="0.25">
      <c r="A98" s="22"/>
      <c r="B98" s="29"/>
      <c r="C98" s="29"/>
      <c r="D98" s="20"/>
      <c r="E98" s="20"/>
      <c r="F98" s="23"/>
    </row>
    <row r="99" spans="1:6" x14ac:dyDescent="0.25">
      <c r="A99" s="22"/>
      <c r="B99" s="29"/>
      <c r="C99" s="29"/>
      <c r="D99" s="20"/>
      <c r="E99" s="20"/>
      <c r="F99" s="23"/>
    </row>
    <row r="100" spans="1:6" x14ac:dyDescent="0.25">
      <c r="A100" s="22"/>
      <c r="B100" s="29"/>
      <c r="C100" s="29"/>
      <c r="D100" s="20"/>
      <c r="E100" s="20"/>
      <c r="F100" s="23"/>
    </row>
    <row r="101" spans="1:6" x14ac:dyDescent="0.25">
      <c r="A101" s="22"/>
      <c r="B101" s="29"/>
      <c r="C101" s="29"/>
      <c r="D101" s="20"/>
      <c r="E101" s="20"/>
      <c r="F101" s="23"/>
    </row>
    <row r="102" spans="1:6" x14ac:dyDescent="0.25">
      <c r="A102" s="22"/>
      <c r="B102" s="29"/>
      <c r="C102" s="29"/>
      <c r="D102" s="20"/>
      <c r="E102" s="20"/>
      <c r="F102" s="23"/>
    </row>
    <row r="103" spans="1:6" x14ac:dyDescent="0.25">
      <c r="A103" s="22"/>
      <c r="B103" s="29"/>
      <c r="C103" s="29"/>
      <c r="D103" s="20"/>
      <c r="E103" s="20"/>
      <c r="F103" s="23"/>
    </row>
    <row r="104" spans="1:6" x14ac:dyDescent="0.25">
      <c r="A104" s="22"/>
      <c r="B104" s="29"/>
      <c r="C104" s="29"/>
      <c r="D104" s="20"/>
      <c r="E104" s="20"/>
      <c r="F104" s="23"/>
    </row>
    <row r="105" spans="1:6" x14ac:dyDescent="0.25">
      <c r="A105" s="22"/>
      <c r="B105" s="29"/>
      <c r="C105" s="29"/>
      <c r="D105" s="20"/>
      <c r="E105" s="20"/>
      <c r="F105" s="23"/>
    </row>
    <row r="106" spans="1:6" x14ac:dyDescent="0.25">
      <c r="A106" s="22"/>
      <c r="B106" s="29"/>
      <c r="C106" s="29"/>
      <c r="D106" s="20"/>
      <c r="E106" s="20"/>
      <c r="F106" s="23"/>
    </row>
    <row r="107" spans="1:6" x14ac:dyDescent="0.25">
      <c r="A107" s="22"/>
      <c r="B107" s="29"/>
      <c r="C107" s="29"/>
      <c r="D107" s="20"/>
      <c r="E107" s="20"/>
      <c r="F107" s="23"/>
    </row>
    <row r="108" spans="1:6" x14ac:dyDescent="0.25">
      <c r="A108" s="22"/>
      <c r="B108" s="29"/>
      <c r="C108" s="29"/>
      <c r="D108" s="20"/>
      <c r="E108" s="20"/>
      <c r="F108" s="23"/>
    </row>
    <row r="109" spans="1:6" x14ac:dyDescent="0.25">
      <c r="A109" s="22"/>
      <c r="B109" s="29"/>
      <c r="C109" s="29"/>
      <c r="D109" s="20"/>
      <c r="E109" s="20"/>
      <c r="F109" s="23"/>
    </row>
    <row r="110" spans="1:6" x14ac:dyDescent="0.25">
      <c r="A110" s="22"/>
      <c r="B110" s="29"/>
      <c r="C110" s="29"/>
      <c r="D110" s="20"/>
      <c r="E110" s="20"/>
      <c r="F110" s="23"/>
    </row>
    <row r="111" spans="1:6" x14ac:dyDescent="0.25">
      <c r="A111" s="22"/>
      <c r="B111" s="29"/>
      <c r="C111" s="29"/>
      <c r="D111" s="20"/>
      <c r="E111" s="20"/>
      <c r="F111" s="23"/>
    </row>
    <row r="112" spans="1:6" x14ac:dyDescent="0.25">
      <c r="A112" s="22"/>
      <c r="B112" s="29"/>
      <c r="C112" s="29"/>
      <c r="D112" s="20"/>
      <c r="E112" s="20"/>
      <c r="F112" s="23"/>
    </row>
    <row r="113" spans="1:6" x14ac:dyDescent="0.25">
      <c r="A113" s="22"/>
      <c r="B113" s="29"/>
      <c r="C113" s="29"/>
      <c r="D113" s="20"/>
      <c r="E113" s="20"/>
      <c r="F113" s="23"/>
    </row>
    <row r="114" spans="1:6" x14ac:dyDescent="0.25">
      <c r="A114" s="22"/>
      <c r="B114" s="29"/>
      <c r="C114" s="29"/>
      <c r="D114" s="20"/>
      <c r="E114" s="20"/>
      <c r="F114" s="23"/>
    </row>
    <row r="115" spans="1:6" x14ac:dyDescent="0.25">
      <c r="A115" s="22"/>
      <c r="B115" s="29"/>
      <c r="C115" s="29"/>
      <c r="D115" s="20"/>
      <c r="E115" s="20"/>
      <c r="F115" s="23"/>
    </row>
    <row r="116" spans="1:6" x14ac:dyDescent="0.25">
      <c r="A116" s="22"/>
      <c r="B116" s="29"/>
      <c r="C116" s="29"/>
      <c r="D116" s="20"/>
      <c r="E116" s="20"/>
      <c r="F116" s="23"/>
    </row>
    <row r="117" spans="1:6" x14ac:dyDescent="0.25">
      <c r="A117" s="22"/>
      <c r="B117" s="29"/>
      <c r="C117" s="29"/>
      <c r="D117" s="20"/>
      <c r="E117" s="20"/>
      <c r="F117" s="23"/>
    </row>
    <row r="118" spans="1:6" x14ac:dyDescent="0.25">
      <c r="A118" s="22"/>
      <c r="B118" s="29"/>
      <c r="C118" s="29"/>
      <c r="D118" s="20"/>
      <c r="E118" s="20"/>
      <c r="F118" s="23"/>
    </row>
    <row r="119" spans="1:6" x14ac:dyDescent="0.25">
      <c r="A119" s="22"/>
      <c r="B119" s="29"/>
      <c r="C119" s="29"/>
      <c r="D119" s="20"/>
      <c r="E119" s="20"/>
      <c r="F119" s="23"/>
    </row>
    <row r="120" spans="1:6" x14ac:dyDescent="0.25">
      <c r="A120" s="22"/>
      <c r="B120" s="29"/>
      <c r="C120" s="29"/>
      <c r="D120" s="20"/>
      <c r="E120" s="20"/>
      <c r="F120" s="23"/>
    </row>
    <row r="121" spans="1:6" x14ac:dyDescent="0.25">
      <c r="A121" s="22"/>
      <c r="B121" s="29"/>
      <c r="C121" s="29"/>
      <c r="D121" s="20"/>
      <c r="E121" s="20"/>
      <c r="F121" s="23"/>
    </row>
    <row r="122" spans="1:6" x14ac:dyDescent="0.25">
      <c r="A122" s="22"/>
      <c r="B122" s="29"/>
      <c r="C122" s="29"/>
      <c r="D122" s="20"/>
      <c r="E122" s="20"/>
      <c r="F122" s="23"/>
    </row>
    <row r="123" spans="1:6" x14ac:dyDescent="0.25">
      <c r="A123" s="22"/>
      <c r="B123" s="29"/>
      <c r="C123" s="29"/>
      <c r="D123" s="20"/>
      <c r="E123" s="20"/>
      <c r="F123" s="23"/>
    </row>
    <row r="124" spans="1:6" x14ac:dyDescent="0.25">
      <c r="A124" s="22"/>
      <c r="B124" s="29"/>
      <c r="C124" s="29"/>
      <c r="D124" s="20"/>
      <c r="E124" s="20"/>
      <c r="F124" s="23"/>
    </row>
    <row r="125" spans="1:6" x14ac:dyDescent="0.25">
      <c r="A125" s="22"/>
      <c r="B125" s="29"/>
      <c r="C125" s="29"/>
      <c r="D125" s="20"/>
      <c r="E125" s="20"/>
      <c r="F125" s="23"/>
    </row>
    <row r="126" spans="1:6" x14ac:dyDescent="0.25">
      <c r="A126" s="22"/>
      <c r="B126" s="29"/>
      <c r="C126" s="29"/>
      <c r="D126" s="20"/>
      <c r="E126" s="20"/>
      <c r="F126" s="23"/>
    </row>
    <row r="127" spans="1:6" x14ac:dyDescent="0.25">
      <c r="A127" s="22"/>
      <c r="B127" s="29"/>
      <c r="C127" s="29"/>
      <c r="D127" s="20"/>
      <c r="E127" s="20"/>
      <c r="F127" s="23"/>
    </row>
    <row r="128" spans="1:6" x14ac:dyDescent="0.25">
      <c r="A128" s="22"/>
      <c r="B128" s="29"/>
      <c r="C128" s="29"/>
      <c r="D128" s="20"/>
      <c r="E128" s="20"/>
      <c r="F128" s="23"/>
    </row>
    <row r="129" spans="1:6" x14ac:dyDescent="0.25">
      <c r="A129" s="22"/>
      <c r="B129" s="29"/>
      <c r="C129" s="29"/>
      <c r="D129" s="20"/>
      <c r="E129" s="20"/>
      <c r="F129" s="23"/>
    </row>
    <row r="130" spans="1:6" x14ac:dyDescent="0.25">
      <c r="A130" s="22"/>
      <c r="B130" s="29"/>
      <c r="C130" s="29"/>
      <c r="D130" s="20"/>
      <c r="E130" s="20"/>
      <c r="F130" s="23"/>
    </row>
    <row r="131" spans="1:6" x14ac:dyDescent="0.25">
      <c r="A131" s="22"/>
      <c r="B131" s="29"/>
      <c r="C131" s="29"/>
      <c r="D131" s="20"/>
      <c r="E131" s="20"/>
      <c r="F131" s="23"/>
    </row>
    <row r="132" spans="1:6" x14ac:dyDescent="0.25">
      <c r="A132" s="22"/>
      <c r="B132" s="29"/>
      <c r="C132" s="29"/>
      <c r="D132" s="20"/>
      <c r="E132" s="20"/>
      <c r="F132" s="23"/>
    </row>
    <row r="133" spans="1:6" x14ac:dyDescent="0.25">
      <c r="A133" s="22"/>
      <c r="B133" s="29"/>
      <c r="C133" s="29"/>
      <c r="D133" s="20"/>
      <c r="E133" s="20"/>
      <c r="F133" s="23"/>
    </row>
    <row r="134" spans="1:6" x14ac:dyDescent="0.25">
      <c r="A134" s="22"/>
      <c r="B134" s="29"/>
      <c r="C134" s="29"/>
      <c r="D134" s="20"/>
      <c r="E134" s="20"/>
      <c r="F134" s="23"/>
    </row>
    <row r="135" spans="1:6" x14ac:dyDescent="0.25">
      <c r="A135" s="22"/>
      <c r="B135" s="29"/>
      <c r="C135" s="29"/>
      <c r="D135" s="20"/>
      <c r="E135" s="20"/>
      <c r="F135" s="23"/>
    </row>
    <row r="136" spans="1:6" x14ac:dyDescent="0.25">
      <c r="A136" s="22"/>
      <c r="B136" s="29"/>
      <c r="C136" s="29"/>
      <c r="D136" s="20"/>
      <c r="E136" s="20"/>
      <c r="F136" s="23"/>
    </row>
    <row r="137" spans="1:6" x14ac:dyDescent="0.25">
      <c r="A137" s="22"/>
      <c r="B137" s="29"/>
      <c r="C137" s="29"/>
      <c r="D137" s="20"/>
      <c r="E137" s="20"/>
      <c r="F137" s="23"/>
    </row>
    <row r="138" spans="1:6" x14ac:dyDescent="0.25">
      <c r="A138" s="22"/>
      <c r="B138" s="29"/>
      <c r="C138" s="29"/>
      <c r="D138" s="20"/>
      <c r="E138" s="20"/>
      <c r="F138" s="23"/>
    </row>
    <row r="139" spans="1:6" x14ac:dyDescent="0.25">
      <c r="A139" s="22"/>
      <c r="B139" s="29"/>
      <c r="C139" s="29"/>
      <c r="D139" s="20"/>
      <c r="E139" s="20"/>
      <c r="F139" s="23"/>
    </row>
    <row r="140" spans="1:6" x14ac:dyDescent="0.25">
      <c r="A140" s="22"/>
      <c r="B140" s="29"/>
      <c r="C140" s="29"/>
      <c r="D140" s="20"/>
      <c r="E140" s="20"/>
      <c r="F140" s="23"/>
    </row>
    <row r="141" spans="1:6" x14ac:dyDescent="0.25">
      <c r="A141" s="22"/>
      <c r="B141" s="29"/>
      <c r="C141" s="29"/>
      <c r="D141" s="20"/>
      <c r="E141" s="20"/>
      <c r="F141" s="23"/>
    </row>
  </sheetData>
  <mergeCells count="112"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78"/>
  <sheetViews>
    <sheetView workbookViewId="0">
      <selection activeCell="C2" sqref="C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t="s">
        <v>0</v>
      </c>
      <c r="B2" s="4">
        <v>7.82</v>
      </c>
      <c r="C2" s="3">
        <v>2.3255813953488298</v>
      </c>
      <c r="D2" s="7">
        <f>B2*C2/100</f>
        <v>0.18186046511627851</v>
      </c>
    </row>
    <row r="3" spans="1:4" x14ac:dyDescent="0.25">
      <c r="A3" t="s">
        <v>1</v>
      </c>
      <c r="B3" s="4">
        <v>7.45</v>
      </c>
      <c r="C3" s="3">
        <v>2.4684270952927601</v>
      </c>
      <c r="D3" s="7">
        <f t="shared" ref="D3:D49" si="0">B3*C3/100</f>
        <v>0.18389781859931062</v>
      </c>
    </row>
    <row r="4" spans="1:4" x14ac:dyDescent="0.25">
      <c r="A4" t="s">
        <v>2</v>
      </c>
      <c r="B4" s="4">
        <v>6.92</v>
      </c>
      <c r="C4" s="3">
        <v>2.2740193291642901</v>
      </c>
      <c r="D4" s="7">
        <f t="shared" si="0"/>
        <v>0.15736213757816889</v>
      </c>
    </row>
    <row r="5" spans="1:4" x14ac:dyDescent="0.25">
      <c r="A5" t="s">
        <v>3</v>
      </c>
      <c r="B5" s="4">
        <v>5.74</v>
      </c>
      <c r="C5" s="3">
        <v>1.6118200134318299</v>
      </c>
      <c r="D5" s="7">
        <f t="shared" si="0"/>
        <v>9.2518468770987031E-2</v>
      </c>
    </row>
    <row r="6" spans="1:4" x14ac:dyDescent="0.25">
      <c r="A6" t="s">
        <v>83</v>
      </c>
      <c r="B6" s="4">
        <v>5.13</v>
      </c>
      <c r="C6" s="3">
        <v>3.0214991284137098</v>
      </c>
      <c r="D6" s="7">
        <f t="shared" si="0"/>
        <v>0.15500290528762331</v>
      </c>
    </row>
    <row r="7" spans="1:4" x14ac:dyDescent="0.25">
      <c r="A7" t="s">
        <v>42</v>
      </c>
      <c r="B7" s="4">
        <v>7.52</v>
      </c>
      <c r="C7" s="3">
        <v>1.9163763066202</v>
      </c>
      <c r="D7" s="7">
        <f t="shared" si="0"/>
        <v>0.14411149825783903</v>
      </c>
    </row>
    <row r="8" spans="1:4" x14ac:dyDescent="0.25">
      <c r="A8" t="s">
        <v>53</v>
      </c>
      <c r="B8" s="25">
        <v>3.83</v>
      </c>
      <c r="C8" s="26">
        <v>0.21505376344086</v>
      </c>
      <c r="D8" s="7">
        <f t="shared" si="0"/>
        <v>8.236559139784938E-3</v>
      </c>
    </row>
    <row r="9" spans="1:4" x14ac:dyDescent="0.25">
      <c r="A9" t="s">
        <v>6</v>
      </c>
      <c r="B9" s="4">
        <v>3.81</v>
      </c>
      <c r="C9" s="3">
        <v>2.68965517241379</v>
      </c>
      <c r="D9" s="7">
        <f t="shared" si="0"/>
        <v>0.1024758620689654</v>
      </c>
    </row>
    <row r="10" spans="1:4" x14ac:dyDescent="0.25">
      <c r="A10" t="s">
        <v>5</v>
      </c>
      <c r="B10" s="4">
        <v>3.35</v>
      </c>
      <c r="C10" s="3">
        <v>-9.9805068226120799</v>
      </c>
      <c r="D10" s="7">
        <f t="shared" si="0"/>
        <v>-0.33434697855750473</v>
      </c>
    </row>
    <row r="11" spans="1:4" x14ac:dyDescent="0.25">
      <c r="A11" t="s">
        <v>43</v>
      </c>
      <c r="B11" s="4">
        <v>3.88</v>
      </c>
      <c r="C11" s="3">
        <v>2.83076923076923</v>
      </c>
      <c r="D11" s="7">
        <f t="shared" si="0"/>
        <v>0.10983384615384612</v>
      </c>
    </row>
    <row r="12" spans="1:4" x14ac:dyDescent="0.25">
      <c r="A12" t="s">
        <v>4</v>
      </c>
      <c r="B12" s="4">
        <v>4.71</v>
      </c>
      <c r="C12" s="27">
        <v>1.5625</v>
      </c>
      <c r="D12" s="7">
        <f t="shared" si="0"/>
        <v>7.3593749999999999E-2</v>
      </c>
    </row>
    <row r="13" spans="1:4" x14ac:dyDescent="0.25">
      <c r="A13" t="s">
        <v>7</v>
      </c>
      <c r="B13" s="25">
        <v>2.4900000000000002</v>
      </c>
      <c r="C13" s="3">
        <v>-0.99706744868035102</v>
      </c>
      <c r="D13" s="7">
        <f t="shared" si="0"/>
        <v>-2.4826979472140742E-2</v>
      </c>
    </row>
    <row r="14" spans="1:4" x14ac:dyDescent="0.25">
      <c r="A14" t="s">
        <v>91</v>
      </c>
      <c r="B14" s="25">
        <v>2.14</v>
      </c>
      <c r="C14" s="3">
        <v>-2.36263736263736</v>
      </c>
      <c r="D14" s="7">
        <f t="shared" si="0"/>
        <v>-5.0560439560439506E-2</v>
      </c>
    </row>
    <row r="15" spans="1:4" x14ac:dyDescent="0.25">
      <c r="A15" t="s">
        <v>21</v>
      </c>
      <c r="B15" s="25">
        <v>1.77</v>
      </c>
      <c r="C15" s="26">
        <v>-1.15052732502396</v>
      </c>
      <c r="D15" s="7">
        <f t="shared" si="0"/>
        <v>-2.0364333652924095E-2</v>
      </c>
    </row>
    <row r="16" spans="1:4" x14ac:dyDescent="0.25">
      <c r="A16" t="s">
        <v>92</v>
      </c>
      <c r="B16" s="4">
        <v>1.38</v>
      </c>
      <c r="C16" s="3">
        <v>2.0408163265306101</v>
      </c>
      <c r="D16" s="7">
        <f t="shared" si="0"/>
        <v>2.8163265306122419E-2</v>
      </c>
    </row>
    <row r="17" spans="1:4" x14ac:dyDescent="0.25">
      <c r="A17" t="s">
        <v>51</v>
      </c>
      <c r="B17" s="4">
        <v>1.61</v>
      </c>
      <c r="C17" s="3">
        <v>0.10487676979549</v>
      </c>
      <c r="D17" s="7">
        <f t="shared" si="0"/>
        <v>1.688515993707389E-3</v>
      </c>
    </row>
    <row r="18" spans="1:4" x14ac:dyDescent="0.25">
      <c r="A18" t="s">
        <v>16</v>
      </c>
      <c r="B18" s="4">
        <v>1.58</v>
      </c>
      <c r="C18" s="3">
        <v>-0.16611295681063101</v>
      </c>
      <c r="D18" s="7">
        <f t="shared" si="0"/>
        <v>-2.6245847176079701E-3</v>
      </c>
    </row>
    <row r="19" spans="1:4" x14ac:dyDescent="0.25">
      <c r="A19" t="s">
        <v>31</v>
      </c>
      <c r="B19" s="4">
        <v>1.54</v>
      </c>
      <c r="C19" s="3">
        <v>6.6889632107023395E-2</v>
      </c>
      <c r="D19" s="7">
        <f t="shared" si="0"/>
        <v>1.0301003344481603E-3</v>
      </c>
    </row>
    <row r="20" spans="1:4" x14ac:dyDescent="0.25">
      <c r="A20" t="s">
        <v>55</v>
      </c>
      <c r="B20" s="4">
        <v>1.1000000000000001</v>
      </c>
      <c r="C20" s="3">
        <v>-1.5592515592515499</v>
      </c>
      <c r="D20" s="7">
        <f t="shared" si="0"/>
        <v>-1.7151767151767049E-2</v>
      </c>
    </row>
    <row r="21" spans="1:4" x14ac:dyDescent="0.25">
      <c r="A21" t="s">
        <v>23</v>
      </c>
      <c r="B21" s="4">
        <v>1.06</v>
      </c>
      <c r="C21" s="3">
        <v>2.0021645021644998</v>
      </c>
      <c r="D21" s="7">
        <f t="shared" si="0"/>
        <v>2.1222943722943702E-2</v>
      </c>
    </row>
    <row r="22" spans="1:4" x14ac:dyDescent="0.25">
      <c r="A22" t="s">
        <v>24</v>
      </c>
      <c r="B22" s="4">
        <v>0.99</v>
      </c>
      <c r="C22" s="3">
        <v>-1.6187050359712201</v>
      </c>
      <c r="D22" s="7">
        <f t="shared" si="0"/>
        <v>-1.6025179856115079E-2</v>
      </c>
    </row>
    <row r="23" spans="1:4" x14ac:dyDescent="0.25">
      <c r="A23" t="s">
        <v>56</v>
      </c>
      <c r="B23" s="25">
        <v>0.98</v>
      </c>
      <c r="C23" s="26">
        <v>0.37837837837837801</v>
      </c>
      <c r="D23" s="7">
        <f t="shared" si="0"/>
        <v>3.7081081081081048E-3</v>
      </c>
    </row>
    <row r="24" spans="1:4" x14ac:dyDescent="0.25">
      <c r="A24" t="s">
        <v>26</v>
      </c>
      <c r="B24" s="25">
        <v>0.82</v>
      </c>
      <c r="C24" s="26">
        <v>-1.0204081632652999</v>
      </c>
      <c r="D24" s="7">
        <f t="shared" si="0"/>
        <v>-8.3673469387754579E-3</v>
      </c>
    </row>
    <row r="25" spans="1:4" x14ac:dyDescent="0.25">
      <c r="A25" t="s">
        <v>25</v>
      </c>
      <c r="B25" s="25">
        <v>0.88</v>
      </c>
      <c r="C25" s="26">
        <v>1.61420500403551</v>
      </c>
      <c r="D25" s="7">
        <f t="shared" si="0"/>
        <v>1.4205004035512487E-2</v>
      </c>
    </row>
    <row r="26" spans="1:4" x14ac:dyDescent="0.25">
      <c r="A26" t="s">
        <v>57</v>
      </c>
      <c r="B26" s="25">
        <v>0.72</v>
      </c>
      <c r="C26" s="26">
        <v>-1.8191546281433899</v>
      </c>
      <c r="D26" s="7">
        <f t="shared" si="0"/>
        <v>-1.3097913322632406E-2</v>
      </c>
    </row>
    <row r="27" spans="1:4" x14ac:dyDescent="0.25">
      <c r="A27" t="s">
        <v>19</v>
      </c>
      <c r="B27" s="25">
        <v>0.8</v>
      </c>
      <c r="C27" s="26">
        <v>3.4433285509325602</v>
      </c>
      <c r="D27" s="7">
        <f t="shared" si="0"/>
        <v>2.7546628407460486E-2</v>
      </c>
    </row>
    <row r="28" spans="1:4" x14ac:dyDescent="0.25">
      <c r="A28" t="s">
        <v>58</v>
      </c>
      <c r="B28" s="25">
        <v>0.75</v>
      </c>
      <c r="C28" s="26">
        <v>0.99415204678362501</v>
      </c>
      <c r="D28" s="7">
        <f t="shared" si="0"/>
        <v>7.4561403508771875E-3</v>
      </c>
    </row>
    <row r="29" spans="1:4" x14ac:dyDescent="0.25">
      <c r="A29" t="s">
        <v>54</v>
      </c>
      <c r="B29" s="25">
        <v>0.6</v>
      </c>
      <c r="C29" s="26">
        <v>-3.2919589854290301</v>
      </c>
      <c r="D29" s="7">
        <f t="shared" si="0"/>
        <v>-1.975175391257418E-2</v>
      </c>
    </row>
    <row r="30" spans="1:4" x14ac:dyDescent="0.25">
      <c r="A30" t="s">
        <v>49</v>
      </c>
      <c r="B30" s="25">
        <v>0.55000000000000004</v>
      </c>
      <c r="C30" s="26">
        <v>-1.34048257372654</v>
      </c>
      <c r="D30" s="7">
        <f t="shared" si="0"/>
        <v>-7.3726541554959705E-3</v>
      </c>
    </row>
    <row r="31" spans="1:4" x14ac:dyDescent="0.25">
      <c r="A31" t="s">
        <v>62</v>
      </c>
      <c r="B31" s="25">
        <v>0.52</v>
      </c>
      <c r="C31" s="26">
        <v>-1.1557177615571701</v>
      </c>
      <c r="D31" s="7">
        <f t="shared" si="0"/>
        <v>-6.0097323600972856E-3</v>
      </c>
    </row>
    <row r="32" spans="1:4" x14ac:dyDescent="0.25">
      <c r="A32" t="s">
        <v>28</v>
      </c>
      <c r="B32" s="25">
        <v>0.5</v>
      </c>
      <c r="C32" s="26">
        <v>1.3086989992301701</v>
      </c>
      <c r="D32" s="7">
        <f t="shared" si="0"/>
        <v>6.5434949961508506E-3</v>
      </c>
    </row>
    <row r="33" spans="1:4" x14ac:dyDescent="0.25">
      <c r="A33" t="s">
        <v>60</v>
      </c>
      <c r="B33" s="25">
        <v>0.48</v>
      </c>
      <c r="C33" s="26">
        <v>1.0689990281827</v>
      </c>
      <c r="D33" s="7">
        <f t="shared" si="0"/>
        <v>5.1311953352769606E-3</v>
      </c>
    </row>
    <row r="34" spans="1:4" x14ac:dyDescent="0.25">
      <c r="A34" t="s">
        <v>22</v>
      </c>
      <c r="B34" s="25">
        <v>0.47</v>
      </c>
      <c r="C34" s="26">
        <v>-1.39616055846422</v>
      </c>
      <c r="D34" s="7">
        <f t="shared" si="0"/>
        <v>-6.561954624781834E-3</v>
      </c>
    </row>
    <row r="35" spans="1:4" x14ac:dyDescent="0.25">
      <c r="A35" t="s">
        <v>63</v>
      </c>
      <c r="B35" s="25">
        <v>0.46</v>
      </c>
      <c r="C35" s="26">
        <v>-4.0264423076923004</v>
      </c>
      <c r="D35" s="7">
        <f t="shared" si="0"/>
        <v>-1.8521634615384582E-2</v>
      </c>
    </row>
    <row r="36" spans="1:4" x14ac:dyDescent="0.25">
      <c r="A36" t="s">
        <v>64</v>
      </c>
      <c r="B36" s="25">
        <v>0.37</v>
      </c>
      <c r="C36" s="26">
        <v>-2.1636876763875801</v>
      </c>
      <c r="D36" s="7">
        <f t="shared" si="0"/>
        <v>-8.0056444026340469E-3</v>
      </c>
    </row>
    <row r="37" spans="1:4" x14ac:dyDescent="0.25">
      <c r="A37" t="s">
        <v>65</v>
      </c>
      <c r="B37" s="25">
        <v>0.45</v>
      </c>
      <c r="C37" s="26">
        <v>-0.891152132399745</v>
      </c>
      <c r="D37" s="7">
        <f t="shared" si="0"/>
        <v>-4.0101845957988521E-3</v>
      </c>
    </row>
    <row r="38" spans="1:4" x14ac:dyDescent="0.25">
      <c r="A38" t="s">
        <v>66</v>
      </c>
      <c r="B38" s="25">
        <v>0.4</v>
      </c>
      <c r="C38" s="26">
        <v>-0.124688279301745</v>
      </c>
      <c r="D38" s="7">
        <f t="shared" si="0"/>
        <v>-4.9875311720698002E-4</v>
      </c>
    </row>
    <row r="39" spans="1:4" x14ac:dyDescent="0.25">
      <c r="A39" t="s">
        <v>95</v>
      </c>
      <c r="B39" s="25">
        <v>0.45</v>
      </c>
      <c r="C39" s="26">
        <v>-9.9824868651488607</v>
      </c>
      <c r="D39" s="7">
        <f t="shared" si="0"/>
        <v>-4.4921190893169871E-2</v>
      </c>
    </row>
    <row r="40" spans="1:4" x14ac:dyDescent="0.25">
      <c r="A40" t="s">
        <v>67</v>
      </c>
      <c r="B40" s="25">
        <v>0.39</v>
      </c>
      <c r="C40" s="26">
        <v>0.26246719160104898</v>
      </c>
      <c r="D40" s="7">
        <f t="shared" si="0"/>
        <v>1.0236220472440911E-3</v>
      </c>
    </row>
    <row r="41" spans="1:4" x14ac:dyDescent="0.25">
      <c r="A41" t="s">
        <v>69</v>
      </c>
      <c r="B41" s="25">
        <v>0.34</v>
      </c>
      <c r="C41" s="26">
        <v>-0.867947923124612</v>
      </c>
      <c r="D41" s="7">
        <f t="shared" si="0"/>
        <v>-2.9510229386236807E-3</v>
      </c>
    </row>
    <row r="42" spans="1:4" x14ac:dyDescent="0.25">
      <c r="A42" t="s">
        <v>93</v>
      </c>
      <c r="B42" s="25">
        <v>0.3</v>
      </c>
      <c r="C42" s="26">
        <v>2.8753993610223598</v>
      </c>
      <c r="D42" s="7">
        <f t="shared" si="0"/>
        <v>8.6261980830670791E-3</v>
      </c>
    </row>
    <row r="43" spans="1:4" x14ac:dyDescent="0.25">
      <c r="A43" t="s">
        <v>68</v>
      </c>
      <c r="B43" s="25">
        <v>0.25</v>
      </c>
      <c r="C43" s="26">
        <v>2.6839826839826801</v>
      </c>
      <c r="D43" s="7">
        <f t="shared" si="0"/>
        <v>6.7099567099567006E-3</v>
      </c>
    </row>
    <row r="44" spans="1:4" x14ac:dyDescent="0.25">
      <c r="A44" t="s">
        <v>9</v>
      </c>
      <c r="B44" s="25">
        <v>0.1</v>
      </c>
      <c r="C44" s="26">
        <v>-9.9505998588567302</v>
      </c>
      <c r="D44" s="7">
        <f t="shared" si="0"/>
        <v>-9.9505998588567297E-3</v>
      </c>
    </row>
    <row r="45" spans="1:4" x14ac:dyDescent="0.25">
      <c r="A45" t="s">
        <v>94</v>
      </c>
      <c r="B45" s="25">
        <v>0.22</v>
      </c>
      <c r="C45" s="26">
        <v>0.73170731707317005</v>
      </c>
      <c r="D45" s="7">
        <f t="shared" si="0"/>
        <v>1.609756097560974E-3</v>
      </c>
    </row>
    <row r="46" spans="1:4" x14ac:dyDescent="0.25">
      <c r="A46" t="s">
        <v>73</v>
      </c>
      <c r="B46" s="25">
        <v>0.08</v>
      </c>
      <c r="C46" s="26">
        <v>0.962309542902967</v>
      </c>
      <c r="D46" s="7">
        <f t="shared" si="0"/>
        <v>7.6984763432237353E-4</v>
      </c>
    </row>
    <row r="47" spans="1:4" x14ac:dyDescent="0.25">
      <c r="A47" t="s">
        <v>61</v>
      </c>
      <c r="B47" s="25">
        <v>0.01</v>
      </c>
      <c r="C47" s="26">
        <v>-1.4222222222222201</v>
      </c>
      <c r="D47" s="7">
        <f t="shared" si="0"/>
        <v>-1.42222222222222E-4</v>
      </c>
    </row>
    <row r="48" spans="1:4" x14ac:dyDescent="0.25">
      <c r="A48" t="s">
        <v>96</v>
      </c>
      <c r="B48" s="25">
        <v>3.34</v>
      </c>
      <c r="C48" s="26">
        <v>0.35</v>
      </c>
      <c r="D48" s="7">
        <f t="shared" si="0"/>
        <v>1.1689999999999999E-2</v>
      </c>
    </row>
    <row r="49" spans="1:6" x14ac:dyDescent="0.25">
      <c r="A49" t="s">
        <v>97</v>
      </c>
      <c r="B49" s="25">
        <v>2.5499999999999998</v>
      </c>
      <c r="C49" s="26">
        <v>0.36</v>
      </c>
      <c r="D49" s="7">
        <f t="shared" si="0"/>
        <v>9.1799999999999989E-3</v>
      </c>
    </row>
    <row r="50" spans="1:6" x14ac:dyDescent="0.25">
      <c r="A50" s="15" t="s">
        <v>52</v>
      </c>
      <c r="B50" s="5">
        <f>SUM(B2:B49)</f>
        <v>93.59999999999998</v>
      </c>
      <c r="C50" s="5"/>
      <c r="D50" s="6">
        <f>SUM(D2:D49)</f>
        <v>0.74913521720880916</v>
      </c>
    </row>
    <row r="60" spans="1:6" x14ac:dyDescent="0.25">
      <c r="A60" s="5"/>
      <c r="B60" s="30"/>
      <c r="C60" s="30"/>
      <c r="D60" s="19"/>
      <c r="E60" s="5"/>
      <c r="F60" s="5"/>
    </row>
    <row r="61" spans="1:6" x14ac:dyDescent="0.25">
      <c r="A61" s="22"/>
      <c r="B61" s="29"/>
      <c r="C61" s="29"/>
      <c r="D61" s="20"/>
      <c r="E61" s="20"/>
      <c r="F61" s="23"/>
    </row>
    <row r="62" spans="1:6" x14ac:dyDescent="0.25">
      <c r="A62" s="22"/>
      <c r="B62" s="29"/>
      <c r="C62" s="29"/>
      <c r="D62" s="20"/>
      <c r="E62" s="20"/>
      <c r="F62" s="23"/>
    </row>
    <row r="63" spans="1:6" x14ac:dyDescent="0.25">
      <c r="A63" s="22"/>
      <c r="B63" s="29"/>
      <c r="C63" s="29"/>
      <c r="D63" s="20"/>
      <c r="E63" s="20"/>
      <c r="F63" s="23"/>
    </row>
    <row r="64" spans="1:6" x14ac:dyDescent="0.25">
      <c r="A64" s="22"/>
      <c r="B64" s="29"/>
      <c r="C64" s="29"/>
      <c r="D64" s="20"/>
      <c r="E64" s="20"/>
      <c r="F64" s="23"/>
    </row>
    <row r="65" spans="1:6" x14ac:dyDescent="0.25">
      <c r="A65" s="22"/>
      <c r="B65" s="29"/>
      <c r="C65" s="29"/>
      <c r="D65" s="20"/>
      <c r="E65" s="20"/>
      <c r="F65" s="23"/>
    </row>
    <row r="66" spans="1:6" x14ac:dyDescent="0.25">
      <c r="A66" s="22"/>
      <c r="B66" s="29"/>
      <c r="C66" s="29"/>
      <c r="D66" s="20"/>
      <c r="E66" s="20"/>
      <c r="F66" s="23"/>
    </row>
    <row r="67" spans="1:6" x14ac:dyDescent="0.25">
      <c r="A67" s="22"/>
      <c r="B67" s="29"/>
      <c r="C67" s="29"/>
      <c r="D67" s="20"/>
      <c r="E67" s="20"/>
      <c r="F67" s="23"/>
    </row>
    <row r="68" spans="1:6" x14ac:dyDescent="0.25">
      <c r="A68" s="22"/>
      <c r="B68" s="29"/>
      <c r="C68" s="29"/>
      <c r="D68" s="20"/>
      <c r="E68" s="20"/>
      <c r="F68" s="23"/>
    </row>
    <row r="69" spans="1:6" x14ac:dyDescent="0.25">
      <c r="A69" s="22"/>
      <c r="B69" s="29"/>
      <c r="C69" s="29"/>
      <c r="D69" s="20"/>
      <c r="E69" s="20"/>
      <c r="F69" s="23"/>
    </row>
    <row r="70" spans="1:6" x14ac:dyDescent="0.25">
      <c r="A70" s="22"/>
      <c r="B70" s="29"/>
      <c r="C70" s="29"/>
      <c r="D70" s="20"/>
      <c r="E70" s="20"/>
      <c r="F70" s="23"/>
    </row>
    <row r="71" spans="1:6" x14ac:dyDescent="0.25">
      <c r="A71" s="22"/>
      <c r="B71" s="29"/>
      <c r="C71" s="29"/>
      <c r="D71" s="20"/>
      <c r="E71" s="20"/>
      <c r="F71" s="23"/>
    </row>
    <row r="72" spans="1:6" x14ac:dyDescent="0.25">
      <c r="A72" s="22"/>
      <c r="B72" s="29"/>
      <c r="C72" s="29"/>
      <c r="D72" s="20"/>
      <c r="E72" s="20"/>
      <c r="F72" s="23"/>
    </row>
    <row r="73" spans="1:6" x14ac:dyDescent="0.25">
      <c r="A73" s="22"/>
      <c r="B73" s="29"/>
      <c r="C73" s="29"/>
      <c r="D73" s="20"/>
      <c r="E73" s="20"/>
      <c r="F73" s="23"/>
    </row>
    <row r="74" spans="1:6" x14ac:dyDescent="0.25">
      <c r="F74" s="23"/>
    </row>
    <row r="75" spans="1:6" x14ac:dyDescent="0.25">
      <c r="F75" s="23"/>
    </row>
    <row r="76" spans="1:6" x14ac:dyDescent="0.25">
      <c r="F76" s="23"/>
    </row>
    <row r="77" spans="1:6" x14ac:dyDescent="0.25">
      <c r="F77" s="23"/>
    </row>
    <row r="78" spans="1:6" x14ac:dyDescent="0.25">
      <c r="F78" s="23"/>
    </row>
  </sheetData>
  <mergeCells count="14">
    <mergeCell ref="B73:C73"/>
    <mergeCell ref="B72:C72"/>
    <mergeCell ref="B65:C65"/>
    <mergeCell ref="B71:C71"/>
    <mergeCell ref="B60:C60"/>
    <mergeCell ref="B61:C61"/>
    <mergeCell ref="B62:C62"/>
    <mergeCell ref="B63:C63"/>
    <mergeCell ref="B64:C64"/>
    <mergeCell ref="B70:C70"/>
    <mergeCell ref="B69:C69"/>
    <mergeCell ref="B68:C68"/>
    <mergeCell ref="B66:C66"/>
    <mergeCell ref="B67:C6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zoomScale="90" zoomScaleNormal="90" workbookViewId="0">
      <selection activeCell="F40" sqref="F40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69</v>
      </c>
      <c r="B2" s="4">
        <v>4.88</v>
      </c>
      <c r="C2" s="8">
        <v>-0.867947923124612</v>
      </c>
      <c r="D2" s="7">
        <f>B2*C2/100</f>
        <v>-4.2355858648481064E-2</v>
      </c>
    </row>
    <row r="3" spans="1:4" x14ac:dyDescent="0.25">
      <c r="A3" s="4" t="s">
        <v>1</v>
      </c>
      <c r="B3" s="4">
        <v>4.6900000000000004</v>
      </c>
      <c r="C3" s="8">
        <v>2.4684270952927601</v>
      </c>
      <c r="D3" s="7">
        <f>B3*C3/100</f>
        <v>0.11576923076923046</v>
      </c>
    </row>
    <row r="4" spans="1:4" x14ac:dyDescent="0.25">
      <c r="A4" s="4" t="s">
        <v>2</v>
      </c>
      <c r="B4" s="4">
        <v>6.71</v>
      </c>
      <c r="C4" s="8">
        <v>2.2740193291642901</v>
      </c>
      <c r="D4" s="7">
        <f t="shared" ref="D4:D32" si="0">B4*C4/100</f>
        <v>0.15258669698692387</v>
      </c>
    </row>
    <row r="5" spans="1:4" x14ac:dyDescent="0.25">
      <c r="A5" s="4" t="s">
        <v>5</v>
      </c>
      <c r="B5" s="4">
        <v>3.33</v>
      </c>
      <c r="C5" s="8">
        <v>-9.9805068226120799</v>
      </c>
      <c r="D5" s="7">
        <f t="shared" si="0"/>
        <v>-0.33235087719298229</v>
      </c>
    </row>
    <row r="6" spans="1:4" x14ac:dyDescent="0.25">
      <c r="A6" s="4" t="s">
        <v>95</v>
      </c>
      <c r="B6" s="4">
        <v>14.22</v>
      </c>
      <c r="C6" s="8">
        <v>-9.9824868651488607</v>
      </c>
      <c r="D6" s="7">
        <f t="shared" si="0"/>
        <v>-1.4195096322241683</v>
      </c>
    </row>
    <row r="7" spans="1:4" x14ac:dyDescent="0.25">
      <c r="A7" s="4" t="s">
        <v>43</v>
      </c>
      <c r="B7" s="4">
        <v>6.79</v>
      </c>
      <c r="C7" s="8">
        <v>2.83076923076923</v>
      </c>
      <c r="D7" s="7">
        <f t="shared" si="0"/>
        <v>0.19220923076923072</v>
      </c>
    </row>
    <row r="8" spans="1:4" x14ac:dyDescent="0.25">
      <c r="A8" s="4" t="s">
        <v>4</v>
      </c>
      <c r="B8" s="4">
        <v>3.02</v>
      </c>
      <c r="C8" s="8">
        <v>1.5625</v>
      </c>
      <c r="D8" s="7">
        <f t="shared" si="0"/>
        <v>4.71875E-2</v>
      </c>
    </row>
    <row r="9" spans="1:4" x14ac:dyDescent="0.25">
      <c r="A9" s="4" t="s">
        <v>17</v>
      </c>
      <c r="B9" s="4">
        <v>3.6</v>
      </c>
      <c r="C9" s="8">
        <v>-3.0558482613277098</v>
      </c>
      <c r="D9" s="7">
        <f t="shared" si="0"/>
        <v>-0.11001053740779757</v>
      </c>
    </row>
    <row r="10" spans="1:4" x14ac:dyDescent="0.25">
      <c r="A10" s="4" t="s">
        <v>20</v>
      </c>
      <c r="B10" s="4">
        <v>2.25</v>
      </c>
      <c r="C10" s="8">
        <v>4.0455840455840404</v>
      </c>
      <c r="D10" s="7">
        <f t="shared" si="0"/>
        <v>9.102564102564091E-2</v>
      </c>
    </row>
    <row r="11" spans="1:4" x14ac:dyDescent="0.25">
      <c r="A11" s="4" t="s">
        <v>16</v>
      </c>
      <c r="B11" s="4">
        <v>2.25</v>
      </c>
      <c r="C11" s="8">
        <v>-0.16611295681063101</v>
      </c>
      <c r="D11" s="7">
        <f t="shared" si="0"/>
        <v>-3.7375415282391976E-3</v>
      </c>
    </row>
    <row r="12" spans="1:4" x14ac:dyDescent="0.25">
      <c r="A12" s="4" t="s">
        <v>33</v>
      </c>
      <c r="B12" s="4">
        <v>2.74</v>
      </c>
      <c r="C12" s="8">
        <v>9.0514120202751602</v>
      </c>
      <c r="D12" s="7">
        <f t="shared" si="0"/>
        <v>0.24800868935553941</v>
      </c>
    </row>
    <row r="13" spans="1:4" x14ac:dyDescent="0.25">
      <c r="A13" s="4" t="s">
        <v>74</v>
      </c>
      <c r="B13" s="4">
        <v>2.4</v>
      </c>
      <c r="C13" s="8">
        <v>4.51354062186559</v>
      </c>
      <c r="D13" s="7">
        <f t="shared" si="0"/>
        <v>0.10832497492477415</v>
      </c>
    </row>
    <row r="14" spans="1:4" x14ac:dyDescent="0.25">
      <c r="A14" s="4" t="s">
        <v>71</v>
      </c>
      <c r="B14" s="4">
        <v>2.4300000000000002</v>
      </c>
      <c r="C14" s="8">
        <v>0.15503875968992201</v>
      </c>
      <c r="D14" s="7">
        <f t="shared" si="0"/>
        <v>3.7674418604651048E-3</v>
      </c>
    </row>
    <row r="15" spans="1:4" x14ac:dyDescent="0.25">
      <c r="A15" s="4" t="s">
        <v>75</v>
      </c>
      <c r="B15" s="4">
        <v>3.26</v>
      </c>
      <c r="C15" s="8">
        <v>-1.84615384615384</v>
      </c>
      <c r="D15" s="7">
        <f t="shared" si="0"/>
        <v>-6.0184615384615184E-2</v>
      </c>
    </row>
    <row r="16" spans="1:4" x14ac:dyDescent="0.25">
      <c r="A16" s="4" t="s">
        <v>76</v>
      </c>
      <c r="B16" s="4">
        <v>0.83</v>
      </c>
      <c r="C16" s="8">
        <v>-4.1266794625719703</v>
      </c>
      <c r="D16" s="7">
        <f t="shared" si="0"/>
        <v>-3.4251439539347353E-2</v>
      </c>
    </row>
    <row r="17" spans="1:5" x14ac:dyDescent="0.25">
      <c r="A17" s="4" t="s">
        <v>77</v>
      </c>
      <c r="B17" s="4">
        <v>2.25</v>
      </c>
      <c r="C17" s="8">
        <v>-3.97862232779097</v>
      </c>
      <c r="D17" s="7">
        <f t="shared" si="0"/>
        <v>-8.9519002375296836E-2</v>
      </c>
    </row>
    <row r="18" spans="1:5" x14ac:dyDescent="0.25">
      <c r="A18" s="4" t="s">
        <v>6</v>
      </c>
      <c r="B18" s="4">
        <v>1.85</v>
      </c>
      <c r="C18" s="8">
        <v>2.68965517241379</v>
      </c>
      <c r="D18" s="7">
        <f t="shared" si="0"/>
        <v>4.9758620689655114E-2</v>
      </c>
    </row>
    <row r="19" spans="1:5" x14ac:dyDescent="0.25">
      <c r="A19" s="4" t="s">
        <v>58</v>
      </c>
      <c r="B19" s="4">
        <v>2.62</v>
      </c>
      <c r="C19" s="8">
        <v>0.99415204678362501</v>
      </c>
      <c r="D19" s="7">
        <f t="shared" si="0"/>
        <v>2.6046783625730974E-2</v>
      </c>
    </row>
    <row r="20" spans="1:5" x14ac:dyDescent="0.25">
      <c r="A20" s="4" t="s">
        <v>81</v>
      </c>
      <c r="B20" s="4">
        <v>2.61</v>
      </c>
      <c r="C20" s="8">
        <v>2.9609690444145298</v>
      </c>
      <c r="D20" s="7">
        <f t="shared" si="0"/>
        <v>7.7281292059219228E-2</v>
      </c>
    </row>
    <row r="21" spans="1:5" x14ac:dyDescent="0.25">
      <c r="A21" s="4" t="s">
        <v>78</v>
      </c>
      <c r="B21" s="4">
        <v>1.56</v>
      </c>
      <c r="C21" s="8">
        <v>-2.2099447513812098</v>
      </c>
      <c r="D21" s="7">
        <f t="shared" si="0"/>
        <v>-3.4475138121546872E-2</v>
      </c>
    </row>
    <row r="22" spans="1:5" x14ac:dyDescent="0.25">
      <c r="A22" s="4" t="s">
        <v>3</v>
      </c>
      <c r="B22" s="4">
        <v>2.4</v>
      </c>
      <c r="C22" s="8">
        <v>1.6118200134318299</v>
      </c>
      <c r="D22" s="7">
        <f t="shared" si="0"/>
        <v>3.8683680322363918E-2</v>
      </c>
    </row>
    <row r="23" spans="1:5" x14ac:dyDescent="0.25">
      <c r="A23" s="4" t="s">
        <v>79</v>
      </c>
      <c r="B23" s="4">
        <v>1.6</v>
      </c>
      <c r="C23" s="8">
        <v>2.1518987341772098</v>
      </c>
      <c r="D23" s="7">
        <f t="shared" si="0"/>
        <v>3.4430379746835361E-2</v>
      </c>
    </row>
    <row r="24" spans="1:5" x14ac:dyDescent="0.25">
      <c r="A24" s="4" t="s">
        <v>8</v>
      </c>
      <c r="B24" s="4">
        <v>3.22</v>
      </c>
      <c r="C24" s="8">
        <v>4.1566265060240903</v>
      </c>
      <c r="D24" s="7">
        <f t="shared" si="0"/>
        <v>0.13384337349397574</v>
      </c>
    </row>
    <row r="25" spans="1:5" x14ac:dyDescent="0.25">
      <c r="A25" s="4" t="s">
        <v>72</v>
      </c>
      <c r="B25" s="4">
        <v>2.06</v>
      </c>
      <c r="C25" s="8">
        <v>-1.5365703749231701</v>
      </c>
      <c r="D25" s="7">
        <f t="shared" si="0"/>
        <v>-3.1653349723417303E-2</v>
      </c>
    </row>
    <row r="26" spans="1:5" x14ac:dyDescent="0.25">
      <c r="A26" s="4" t="s">
        <v>80</v>
      </c>
      <c r="B26" s="4">
        <v>0.99</v>
      </c>
      <c r="C26" s="8">
        <v>-1.0669253152279301</v>
      </c>
      <c r="D26" s="7">
        <f t="shared" si="0"/>
        <v>-1.0562560620756507E-2</v>
      </c>
    </row>
    <row r="27" spans="1:5" x14ac:dyDescent="0.25">
      <c r="A27" s="4" t="s">
        <v>59</v>
      </c>
      <c r="B27" s="4">
        <v>1.59</v>
      </c>
      <c r="C27" s="8">
        <v>-1.3123359580052401</v>
      </c>
      <c r="D27" s="7">
        <f t="shared" si="0"/>
        <v>-2.0866141732283315E-2</v>
      </c>
    </row>
    <row r="28" spans="1:5" x14ac:dyDescent="0.25">
      <c r="A28" s="4" t="s">
        <v>98</v>
      </c>
      <c r="B28" s="4">
        <v>0.61</v>
      </c>
      <c r="C28" s="13">
        <v>-5.4406130268199204</v>
      </c>
      <c r="D28" s="7">
        <f t="shared" si="0"/>
        <v>-3.3187739463601512E-2</v>
      </c>
    </row>
    <row r="29" spans="1:5" x14ac:dyDescent="0.25">
      <c r="A29" s="4" t="s">
        <v>53</v>
      </c>
      <c r="B29" s="4">
        <v>0.6</v>
      </c>
      <c r="C29" s="8">
        <v>0.21505376344086</v>
      </c>
      <c r="D29" s="7">
        <f t="shared" si="0"/>
        <v>1.2903225806451598E-3</v>
      </c>
      <c r="E29" s="4"/>
    </row>
    <row r="30" spans="1:5" x14ac:dyDescent="0.25">
      <c r="A30" s="4" t="s">
        <v>99</v>
      </c>
      <c r="B30" s="4">
        <v>0.49</v>
      </c>
      <c r="C30" s="8">
        <v>-0.23880597014925301</v>
      </c>
      <c r="D30" s="7">
        <f t="shared" si="0"/>
        <v>-1.1701492537313396E-3</v>
      </c>
      <c r="E30" s="16"/>
    </row>
    <row r="31" spans="1:5" x14ac:dyDescent="0.25">
      <c r="A31" s="4" t="s">
        <v>100</v>
      </c>
      <c r="B31" s="4">
        <v>0.91</v>
      </c>
      <c r="C31" s="13">
        <v>1.72043010752688</v>
      </c>
      <c r="D31" s="7">
        <f t="shared" si="0"/>
        <v>1.5655913978494609E-2</v>
      </c>
    </row>
    <row r="32" spans="1:5" x14ac:dyDescent="0.25">
      <c r="A32" s="4" t="s">
        <v>101</v>
      </c>
      <c r="B32" s="4">
        <v>0.05</v>
      </c>
      <c r="C32" s="8">
        <v>0.40322580645161199</v>
      </c>
      <c r="D32" s="7">
        <f t="shared" si="0"/>
        <v>2.0161290322580599E-4</v>
      </c>
      <c r="E32" s="5"/>
    </row>
    <row r="33" spans="1:5" x14ac:dyDescent="0.25">
      <c r="A33" s="15" t="s">
        <v>52</v>
      </c>
      <c r="B33" s="6">
        <f>SUM(B2:B32)</f>
        <v>88.809999999999988</v>
      </c>
      <c r="C33" s="5"/>
      <c r="D33" s="6">
        <f>SUM(D2:D32)</f>
        <v>-0.88776319812431426</v>
      </c>
      <c r="E33" s="20"/>
    </row>
    <row r="34" spans="1:5" x14ac:dyDescent="0.25">
      <c r="A34" s="17"/>
      <c r="B34" s="29"/>
      <c r="C34" s="29"/>
      <c r="D34" s="24"/>
      <c r="E34" s="21"/>
    </row>
    <row r="35" spans="1:5" x14ac:dyDescent="0.25">
      <c r="A35" s="17"/>
      <c r="B35" s="29"/>
      <c r="C35" s="29"/>
      <c r="D35" s="24"/>
      <c r="E35" s="21"/>
    </row>
    <row r="36" spans="1:5" x14ac:dyDescent="0.25">
      <c r="A36" s="17"/>
      <c r="B36" s="29"/>
      <c r="C36" s="29"/>
      <c r="D36" s="24"/>
      <c r="E36" s="21"/>
    </row>
    <row r="37" spans="1:5" x14ac:dyDescent="0.25">
      <c r="A37" s="17"/>
      <c r="B37" s="29"/>
      <c r="C37" s="29"/>
      <c r="D37" s="24"/>
      <c r="E37" s="21"/>
    </row>
    <row r="38" spans="1:5" x14ac:dyDescent="0.25">
      <c r="A38" s="17"/>
      <c r="B38" s="29"/>
      <c r="C38" s="29"/>
      <c r="D38" s="24"/>
      <c r="E38" s="21"/>
    </row>
    <row r="39" spans="1:5" x14ac:dyDescent="0.25">
      <c r="A39" s="17"/>
      <c r="B39" s="29"/>
      <c r="C39" s="29"/>
      <c r="D39" s="24"/>
      <c r="E39" s="21"/>
    </row>
    <row r="40" spans="1:5" x14ac:dyDescent="0.25">
      <c r="A40" s="17"/>
      <c r="B40" s="29"/>
      <c r="C40" s="29"/>
      <c r="D40" s="24"/>
      <c r="E40" s="21"/>
    </row>
    <row r="41" spans="1:5" x14ac:dyDescent="0.25">
      <c r="A41" s="17"/>
      <c r="B41" s="29"/>
      <c r="C41" s="29"/>
      <c r="D41" s="24"/>
      <c r="E41" s="21"/>
    </row>
    <row r="42" spans="1:5" x14ac:dyDescent="0.25">
      <c r="A42" s="17"/>
      <c r="B42" s="29"/>
      <c r="C42" s="29"/>
      <c r="D42" s="24"/>
      <c r="E42" s="21"/>
    </row>
    <row r="43" spans="1:5" x14ac:dyDescent="0.25">
      <c r="A43" s="17"/>
      <c r="B43" s="29"/>
      <c r="C43" s="29"/>
      <c r="D43" s="24"/>
      <c r="E43" s="21"/>
    </row>
    <row r="44" spans="1:5" x14ac:dyDescent="0.25">
      <c r="A44" s="17"/>
      <c r="B44" s="29"/>
      <c r="C44" s="29"/>
      <c r="D44" s="24"/>
      <c r="E44" s="21"/>
    </row>
    <row r="45" spans="1:5" x14ac:dyDescent="0.25">
      <c r="A45" s="17"/>
      <c r="B45" s="29"/>
      <c r="C45" s="29"/>
      <c r="D45" s="24"/>
      <c r="E45" s="21"/>
    </row>
    <row r="46" spans="1:5" x14ac:dyDescent="0.25">
      <c r="A46" s="17"/>
      <c r="B46" s="29"/>
      <c r="C46" s="29"/>
      <c r="D46" s="24"/>
      <c r="E46" s="21"/>
    </row>
  </sheetData>
  <mergeCells count="13">
    <mergeCell ref="B42:C42"/>
    <mergeCell ref="B43:C43"/>
    <mergeCell ref="B44:C44"/>
    <mergeCell ref="B45:C45"/>
    <mergeCell ref="B46:C46"/>
    <mergeCell ref="B41:C41"/>
    <mergeCell ref="B34:C34"/>
    <mergeCell ref="B35:C35"/>
    <mergeCell ref="B36:C36"/>
    <mergeCell ref="B37:C37"/>
    <mergeCell ref="B38:C38"/>
    <mergeCell ref="B39:C39"/>
    <mergeCell ref="B40:C4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100F4-F4DD-40F4-A50B-53E186227309}">
  <dimension ref="A1:D20"/>
  <sheetViews>
    <sheetView tabSelected="1" workbookViewId="0">
      <selection activeCell="G24" sqref="G24"/>
    </sheetView>
  </sheetViews>
  <sheetFormatPr defaultRowHeight="15" x14ac:dyDescent="0.25"/>
  <sheetData>
    <row r="1" spans="1:4" x14ac:dyDescent="0.25">
      <c r="A1" s="2" t="s">
        <v>36</v>
      </c>
      <c r="B1" s="2" t="s">
        <v>37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13.56</v>
      </c>
      <c r="C2" s="8">
        <v>2.4684270952927601</v>
      </c>
      <c r="D2" s="7">
        <f>B2*C2/100</f>
        <v>0.33471871412169824</v>
      </c>
    </row>
    <row r="3" spans="1:4" x14ac:dyDescent="0.25">
      <c r="A3" s="4" t="s">
        <v>5</v>
      </c>
      <c r="B3" s="4">
        <v>7.71</v>
      </c>
      <c r="C3" s="8">
        <v>-9.9805068226120799</v>
      </c>
      <c r="D3" s="7">
        <f>B3*C3/100</f>
        <v>-0.76949707602339135</v>
      </c>
    </row>
    <row r="4" spans="1:4" x14ac:dyDescent="0.25">
      <c r="A4" s="4" t="s">
        <v>42</v>
      </c>
      <c r="B4" s="4">
        <v>15.32</v>
      </c>
      <c r="C4" s="8">
        <v>1.9163763066202</v>
      </c>
      <c r="D4" s="7">
        <f t="shared" ref="D4:D19" si="0">B4*C4/100</f>
        <v>0.29358885017421466</v>
      </c>
    </row>
    <row r="5" spans="1:4" x14ac:dyDescent="0.25">
      <c r="A5" s="4" t="s">
        <v>6</v>
      </c>
      <c r="B5" s="4">
        <v>7.12</v>
      </c>
      <c r="C5" s="8">
        <v>2.68965517241379</v>
      </c>
      <c r="D5" s="7">
        <f t="shared" si="0"/>
        <v>0.19150344827586185</v>
      </c>
    </row>
    <row r="6" spans="1:4" x14ac:dyDescent="0.25">
      <c r="A6" s="4" t="s">
        <v>4</v>
      </c>
      <c r="B6" s="4">
        <v>16.21</v>
      </c>
      <c r="C6" s="8">
        <v>1.5625</v>
      </c>
      <c r="D6" s="7">
        <f t="shared" si="0"/>
        <v>0.25328125000000001</v>
      </c>
    </row>
    <row r="7" spans="1:4" x14ac:dyDescent="0.25">
      <c r="A7" s="4" t="s">
        <v>81</v>
      </c>
      <c r="B7" s="4">
        <v>5.84</v>
      </c>
      <c r="C7" s="8">
        <v>2.9609690444145298</v>
      </c>
      <c r="D7" s="7">
        <f t="shared" si="0"/>
        <v>0.17292059219380854</v>
      </c>
    </row>
    <row r="8" spans="1:4" x14ac:dyDescent="0.25">
      <c r="A8" s="4" t="s">
        <v>3</v>
      </c>
      <c r="B8" s="4">
        <v>2.77</v>
      </c>
      <c r="C8" s="8">
        <v>1.6118200134318299</v>
      </c>
      <c r="D8" s="7">
        <f t="shared" si="0"/>
        <v>4.464741437206169E-2</v>
      </c>
    </row>
    <row r="9" spans="1:4" x14ac:dyDescent="0.25">
      <c r="A9" s="4" t="s">
        <v>53</v>
      </c>
      <c r="B9" s="4">
        <v>1.27</v>
      </c>
      <c r="C9" s="8">
        <v>0.21505376344086</v>
      </c>
      <c r="D9" s="7">
        <f t="shared" si="0"/>
        <v>2.7311827956989221E-3</v>
      </c>
    </row>
    <row r="10" spans="1:4" x14ac:dyDescent="0.25">
      <c r="A10" s="4" t="s">
        <v>0</v>
      </c>
      <c r="B10" s="4">
        <v>1.77</v>
      </c>
      <c r="C10" s="8">
        <v>2.3255813953488298</v>
      </c>
      <c r="D10" s="7">
        <f t="shared" si="0"/>
        <v>4.1162790697674284E-2</v>
      </c>
    </row>
    <row r="11" spans="1:4" x14ac:dyDescent="0.25">
      <c r="A11" s="4" t="s">
        <v>7</v>
      </c>
      <c r="B11" s="4">
        <v>1.39</v>
      </c>
      <c r="C11" s="8">
        <v>-0.99706744868035102</v>
      </c>
      <c r="D11" s="7">
        <f t="shared" si="0"/>
        <v>-1.3859237536656879E-2</v>
      </c>
    </row>
    <row r="12" spans="1:4" x14ac:dyDescent="0.25">
      <c r="A12" s="4" t="s">
        <v>54</v>
      </c>
      <c r="B12" s="4">
        <v>0.19</v>
      </c>
      <c r="C12" s="8">
        <v>-3.2919589854290301</v>
      </c>
      <c r="D12" s="7">
        <f t="shared" si="0"/>
        <v>-6.2547220723151572E-3</v>
      </c>
    </row>
    <row r="13" spans="1:4" x14ac:dyDescent="0.25">
      <c r="A13" s="4" t="s">
        <v>102</v>
      </c>
      <c r="B13" s="4">
        <v>0.04</v>
      </c>
      <c r="C13" s="8">
        <v>2.83076923076923</v>
      </c>
      <c r="D13" s="7">
        <f t="shared" si="0"/>
        <v>1.132307692307692E-3</v>
      </c>
    </row>
    <row r="14" spans="1:4" x14ac:dyDescent="0.25">
      <c r="A14" s="4" t="s">
        <v>9</v>
      </c>
      <c r="B14" s="4">
        <v>0.06</v>
      </c>
      <c r="C14" s="8">
        <v>-9.9505998588567302</v>
      </c>
      <c r="D14" s="7">
        <f t="shared" si="0"/>
        <v>-5.9703599153140378E-3</v>
      </c>
    </row>
    <row r="15" spans="1:4" x14ac:dyDescent="0.25">
      <c r="A15" s="4" t="s">
        <v>83</v>
      </c>
      <c r="B15" s="4">
        <v>0.33</v>
      </c>
      <c r="C15" s="8">
        <v>3.0214991284137098</v>
      </c>
      <c r="D15" s="7">
        <f t="shared" si="0"/>
        <v>9.9709471237652419E-3</v>
      </c>
    </row>
    <row r="16" spans="1:4" x14ac:dyDescent="0.25">
      <c r="A16" s="4" t="s">
        <v>29</v>
      </c>
      <c r="B16" s="4">
        <v>0.12</v>
      </c>
      <c r="C16" s="8">
        <v>-1.45278450363196</v>
      </c>
      <c r="D16" s="7">
        <f t="shared" si="0"/>
        <v>-1.743341404358352E-3</v>
      </c>
    </row>
    <row r="17" spans="1:4" x14ac:dyDescent="0.25">
      <c r="A17" s="4" t="s">
        <v>20</v>
      </c>
      <c r="B17" s="4">
        <v>0.18</v>
      </c>
      <c r="C17" s="8">
        <v>4.0455840455840404</v>
      </c>
      <c r="D17" s="7">
        <f t="shared" si="0"/>
        <v>7.2820512820512724E-3</v>
      </c>
    </row>
    <row r="18" spans="1:4" x14ac:dyDescent="0.25">
      <c r="A18" s="4" t="s">
        <v>70</v>
      </c>
      <c r="B18" s="4">
        <v>0.24</v>
      </c>
      <c r="C18" s="8">
        <v>-2.3696682464454901</v>
      </c>
      <c r="D18" s="7">
        <f t="shared" si="0"/>
        <v>-5.6872037914691767E-3</v>
      </c>
    </row>
    <row r="19" spans="1:4" x14ac:dyDescent="0.25">
      <c r="A19" s="4" t="s">
        <v>8</v>
      </c>
      <c r="B19" s="4">
        <v>0.05</v>
      </c>
      <c r="C19" s="8">
        <v>4.1566265060240903</v>
      </c>
      <c r="D19" s="7">
        <f t="shared" si="0"/>
        <v>2.0783132530120454E-3</v>
      </c>
    </row>
    <row r="20" spans="1:4" x14ac:dyDescent="0.25">
      <c r="A20" s="15" t="s">
        <v>52</v>
      </c>
      <c r="B20" s="6">
        <f>SUM(B2:B19)</f>
        <v>74.17</v>
      </c>
      <c r="C20" s="5"/>
      <c r="D20" s="6">
        <f>SUM(D2:D19)</f>
        <v>0.55200592123864944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DFI</vt:lpstr>
      <vt:lpstr>KHA</vt:lpstr>
      <vt:lpstr>THF</vt:lpstr>
      <vt:lpstr>TMV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2026-08-24T15:25:28Z</dcterms:modified>
</cp:coreProperties>
</file>