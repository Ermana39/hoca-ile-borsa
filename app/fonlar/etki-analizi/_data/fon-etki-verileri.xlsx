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758FF442-1C48-4855-BE68-5839F40F379E}" xr6:coauthVersionLast="47" xr6:coauthVersionMax="47" xr10:uidLastSave="{00000000-0000-0000-0000-000000000000}"/>
  <bookViews>
    <workbookView xWindow="-35310" yWindow="150" windowWidth="15510" windowHeight="20760" activeTab="4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" i="7" l="1"/>
  <c r="D34" i="7"/>
  <c r="D32" i="7"/>
  <c r="D31" i="7"/>
  <c r="D27" i="7"/>
  <c r="D25" i="7"/>
  <c r="D24" i="7"/>
  <c r="D23" i="7"/>
  <c r="D22" i="7"/>
  <c r="D19" i="7"/>
  <c r="D17" i="7"/>
  <c r="D16" i="7"/>
  <c r="D15" i="7"/>
  <c r="D13" i="7"/>
  <c r="D12" i="7"/>
  <c r="D11" i="7"/>
  <c r="D10" i="7"/>
  <c r="D9" i="7"/>
  <c r="D8" i="7"/>
  <c r="D6" i="7"/>
  <c r="D5" i="7"/>
  <c r="D4" i="7"/>
  <c r="D3" i="7"/>
  <c r="D2" i="7"/>
  <c r="D14" i="1"/>
  <c r="D13" i="1"/>
  <c r="D12" i="1"/>
  <c r="D11" i="1"/>
  <c r="D10" i="1"/>
  <c r="D9" i="1"/>
  <c r="D8" i="1"/>
  <c r="D7" i="1"/>
  <c r="D5" i="1"/>
  <c r="D4" i="1"/>
  <c r="D3" i="1"/>
  <c r="D2" i="1"/>
  <c r="B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3" i="7"/>
  <c r="D30" i="7"/>
  <c r="D29" i="7"/>
  <c r="D28" i="7"/>
  <c r="D26" i="7"/>
  <c r="D21" i="7"/>
  <c r="D20" i="7"/>
  <c r="D18" i="7"/>
  <c r="D14" i="7"/>
  <c r="D7" i="7"/>
  <c r="D6" i="1"/>
  <c r="B16" i="1"/>
  <c r="D15" i="1"/>
  <c r="D51" i="7" l="1"/>
  <c r="D16" i="1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<sst xmlns="http://schemas.openxmlformats.org/spreadsheetml/2006/main" count="194" uniqueCount="95">
  <si>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</si>
  <si>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</si>
  <si>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</si>
  <si>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</si>
  <si>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</si>
  <si>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</si>
  <si>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</si>
  <si>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</si>
  <si>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</si>
  <si>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</si>
  <si>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</si>
  <si>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</si>
  <si>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</si>
  <si>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</si>
  <si>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</si>
  <si>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</si>
  <si>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</si>
  <si>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</si>
  <si>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</si>
  <si>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</si>
  <si>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</si>
  <si>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</si>
  <si>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</si>
  <si>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</si>
  <si>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</si>
  <si>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</si>
  <si>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</si>
  <si>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</si>
  <si>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</si>
  <si>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</si>
  <si>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</si>
  <si>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</si>
  <si>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</si>
  <si>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</si>
  <si>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</si>
  <si>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</si>
  <si>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</si>
  <si>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</si>
  <si>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</si>
  <si>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</si>
  <si>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</si>
  <si>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</si>
  <si>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</si>
  <si>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</si>
  <si>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</si>
  <si>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</si>
  <si>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</si>
  <si>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</si>
  <si>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</si>
  <si>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</si>
  <si>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</si>
  <si>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</si>
  <si>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</si>
  <si>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</si>
  <si>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</si>
  <si>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</si>
  <si>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</si>
  <si>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</si>
  <si>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</si>
  <si>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</si>
  <si>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</si>
  <si>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</si>
  <si>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</si>
  <si>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</si>
  <si>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</si>
  <si>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</si>
  <si>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</si>
  <si>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</si>
  <si>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Tarih</t>
  </si>
  <si>
    <t>MARJ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</si>
  <si>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</si>
  <si>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</si>
  <si>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</si>
  <si>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</si>
  <si>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</si>
  <si>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</si>
  <si>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</si>
  <si>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</si>
  <si>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</si>
  <si>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</si>
  <si>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KRDMD</t>
  </si>
  <si>
    <t>CCOLA</t>
  </si>
  <si>
    <t>CANTE</t>
  </si>
  <si>
    <t>ALARK</t>
  </si>
  <si>
    <t>SISE</t>
  </si>
  <si>
    <t>AGHOL</t>
  </si>
  <si>
    <t>FROTO</t>
  </si>
  <si>
    <t>EGEPO</t>
  </si>
  <si>
    <t>MAVI</t>
  </si>
  <si>
    <t>BRKO</t>
  </si>
  <si>
    <t>ASELS</t>
  </si>
  <si>
    <t>TURSG</t>
  </si>
  <si>
    <t>KGYO</t>
  </si>
  <si>
    <t>TUPRS</t>
  </si>
  <si>
    <t>BIZIM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</si>
</sst>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opLeftCell="A4" workbookViewId="0">
      <selection activeCell="F44" sqref="F44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-5.2847915443335296</v>
      </c>
      <c r="D2" s="7">
        <f>B2*C2/100</f>
        <v>-1.2075748678802116</v>
      </c>
    </row>
    <row r="3" spans="1:4" x14ac:dyDescent="0.25">
      <c r="A3" s="4" t="s">
        <v>1</v>
      </c>
      <c r="B3" s="4">
        <v>14.3</v>
      </c>
      <c r="C3" s="3">
        <v>3.80154639175257</v>
      </c>
      <c r="D3" s="7">
        <f>B3*C3/100</f>
        <v>0.54362113402061751</v>
      </c>
    </row>
    <row r="4" spans="1:4" x14ac:dyDescent="0.25">
      <c r="A4" s="4" t="s">
        <v>3</v>
      </c>
      <c r="B4" s="4">
        <v>7.73</v>
      </c>
      <c r="C4" s="3">
        <v>-0.20366598778004</v>
      </c>
      <c r="D4" s="7">
        <f t="shared" ref="D4:D15" si="0">B4*C4/100</f>
        <v>-1.5743380855397095E-2</v>
      </c>
    </row>
    <row r="5" spans="1:4" x14ac:dyDescent="0.25">
      <c r="A5" s="4" t="s">
        <v>5</v>
      </c>
      <c r="B5" s="4">
        <v>7.14</v>
      </c>
      <c r="C5" s="3">
        <v>0.41666666666666602</v>
      </c>
      <c r="D5" s="7">
        <f t="shared" si="0"/>
        <v>2.9749999999999954E-2</v>
      </c>
    </row>
    <row r="6" spans="1:4" x14ac:dyDescent="0.25">
      <c r="A6" s="4" t="s">
        <v>2</v>
      </c>
      <c r="B6" s="4">
        <v>6.63</v>
      </c>
      <c r="C6" s="3">
        <v>1.05555555555555</v>
      </c>
      <c r="D6" s="7">
        <f t="shared" si="0"/>
        <v>6.9983333333332967E-2</v>
      </c>
    </row>
    <row r="7" spans="1:4" x14ac:dyDescent="0.25">
      <c r="A7" s="4" t="s">
        <v>4</v>
      </c>
      <c r="B7" s="4">
        <v>5.61</v>
      </c>
      <c r="C7" s="3">
        <v>-0.269687162891046</v>
      </c>
      <c r="D7" s="7">
        <f t="shared" si="0"/>
        <v>-1.512944983818768E-2</v>
      </c>
    </row>
    <row r="8" spans="1:4" x14ac:dyDescent="0.25">
      <c r="A8" s="4" t="s">
        <v>6</v>
      </c>
      <c r="B8" s="4">
        <v>1.99</v>
      </c>
      <c r="C8" s="3">
        <v>4.1322314049586701</v>
      </c>
      <c r="D8" s="7">
        <f t="shared" si="0"/>
        <v>8.2231404958677534E-2</v>
      </c>
    </row>
    <row r="9" spans="1:4" x14ac:dyDescent="0.25">
      <c r="A9" s="4" t="s">
        <v>49</v>
      </c>
      <c r="B9" s="4">
        <v>1.04</v>
      </c>
      <c r="C9" s="3">
        <v>-0.23474178403755799</v>
      </c>
      <c r="D9" s="7">
        <f t="shared" si="0"/>
        <v>-2.4413145539906029E-3</v>
      </c>
    </row>
    <row r="10" spans="1:4" x14ac:dyDescent="0.25">
      <c r="A10" s="4" t="s">
        <v>7</v>
      </c>
      <c r="B10" s="4">
        <v>0.54</v>
      </c>
      <c r="C10" s="3">
        <v>1.2610340479192901</v>
      </c>
      <c r="D10" s="7">
        <f t="shared" si="0"/>
        <v>6.8095838587641667E-3</v>
      </c>
    </row>
    <row r="11" spans="1:4" x14ac:dyDescent="0.25">
      <c r="A11" s="4" t="s">
        <v>8</v>
      </c>
      <c r="B11" s="4">
        <v>0.52</v>
      </c>
      <c r="C11" s="3">
        <v>-1.2753188297074201</v>
      </c>
      <c r="D11" s="7">
        <f t="shared" si="0"/>
        <v>-6.6316579144785849E-3</v>
      </c>
    </row>
    <row r="12" spans="1:4" x14ac:dyDescent="0.25">
      <c r="A12" s="4" t="s">
        <v>9</v>
      </c>
      <c r="B12" s="4">
        <v>0.27</v>
      </c>
      <c r="C12" s="3">
        <v>9.7781429745275208</v>
      </c>
      <c r="D12" s="7">
        <f t="shared" si="0"/>
        <v>2.6400986031224306E-2</v>
      </c>
    </row>
    <row r="13" spans="1:4" x14ac:dyDescent="0.25">
      <c r="A13" s="4" t="s">
        <v>50</v>
      </c>
      <c r="B13" s="4">
        <v>0.14000000000000001</v>
      </c>
      <c r="C13" s="3">
        <v>5.4317548746518103</v>
      </c>
      <c r="D13" s="7">
        <f t="shared" si="0"/>
        <v>7.6044568245125354E-3</v>
      </c>
    </row>
    <row r="14" spans="1:4" x14ac:dyDescent="0.25">
      <c r="A14" s="4" t="s">
        <v>27</v>
      </c>
      <c r="B14" s="4">
        <v>7.0000000000000007E-2</v>
      </c>
      <c r="C14" s="3">
        <v>-2.1864211737629402</v>
      </c>
      <c r="D14" s="7">
        <f t="shared" si="0"/>
        <v>-1.5304948216340584E-3</v>
      </c>
    </row>
    <row r="15" spans="1:4" x14ac:dyDescent="0.25">
      <c r="A15" s="4" t="s">
        <v>51</v>
      </c>
      <c r="B15" s="4">
        <v>1.27</v>
      </c>
      <c r="C15" s="3">
        <v>-0.93</v>
      </c>
      <c r="D15" s="7">
        <f t="shared" si="0"/>
        <v>-1.1811E-2</v>
      </c>
    </row>
    <row r="16" spans="1:4" x14ac:dyDescent="0.25">
      <c r="A16" s="16" t="s">
        <v>63</v>
      </c>
      <c r="B16" s="5">
        <f>B2+B3+B4+B5+B6+B7+B8+B9+B10+B11+B12+B13+B14+B15</f>
        <v>70.100000000000009</v>
      </c>
      <c r="C16" s="5"/>
      <c r="D16" s="6">
        <f>D2+D3+D4+D5+D6+D7+D8+D9+D10+D11+D12+D13+D14+D15</f>
        <v>-0.49446126683677055</v>
      </c>
    </row>
    <row r="17" spans="1:6" x14ac:dyDescent="0.25">
      <c r="A17" s="16"/>
      <c r="B17" s="5"/>
      <c r="C17" s="5"/>
      <c r="D17" s="6"/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7"/>
    </row>
    <row r="30" spans="1:6" x14ac:dyDescent="0.25">
      <c r="A30" s="29"/>
      <c r="B30" s="29"/>
      <c r="C30" s="9"/>
      <c r="D30" s="19"/>
    </row>
    <row r="31" spans="1:6" x14ac:dyDescent="0.25">
      <c r="A31" s="5" t="s">
        <v>68</v>
      </c>
      <c r="B31" s="30" t="s">
        <v>52</v>
      </c>
      <c r="C31" s="30"/>
      <c r="D31" s="20" t="s">
        <v>53</v>
      </c>
      <c r="E31" s="5" t="s">
        <v>67</v>
      </c>
      <c r="F31" s="5" t="s">
        <v>69</v>
      </c>
    </row>
    <row r="32" spans="1:6" x14ac:dyDescent="0.25">
      <c r="A32" s="18">
        <v>46226</v>
      </c>
      <c r="B32" s="29">
        <v>98970</v>
      </c>
      <c r="C32" s="29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9">
        <v>99051</v>
      </c>
      <c r="C33" s="29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9">
        <v>98455</v>
      </c>
      <c r="C34" s="29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9">
        <v>98583</v>
      </c>
      <c r="C35" s="29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9">
        <v>98915</v>
      </c>
      <c r="C36" s="29"/>
      <c r="D36" s="25">
        <v>226192717226</v>
      </c>
      <c r="E36" s="22">
        <v>-7041302653</v>
      </c>
      <c r="F36" s="24">
        <v>4.3E-3</v>
      </c>
    </row>
    <row r="37" spans="1:6" x14ac:dyDescent="0.25">
      <c r="A37" s="18">
        <v>46233</v>
      </c>
      <c r="B37" s="29">
        <v>97411</v>
      </c>
      <c r="C37" s="29"/>
      <c r="D37" s="25">
        <v>223802010766</v>
      </c>
      <c r="E37" s="22">
        <v>-1443647505</v>
      </c>
      <c r="F37" s="24">
        <v>-4.1999999999999997E-3</v>
      </c>
    </row>
    <row r="38" spans="1:6" x14ac:dyDescent="0.25">
      <c r="A38" s="18">
        <v>46234</v>
      </c>
      <c r="B38" s="29">
        <v>97269</v>
      </c>
      <c r="C38" s="29"/>
      <c r="D38" s="25">
        <v>223121593370</v>
      </c>
      <c r="E38" s="22">
        <v>-3172256453</v>
      </c>
      <c r="F38" s="24">
        <v>1.11E-2</v>
      </c>
    </row>
    <row r="39" spans="1:6" x14ac:dyDescent="0.25">
      <c r="A39" s="18">
        <v>46237</v>
      </c>
      <c r="B39" s="29">
        <v>96829</v>
      </c>
      <c r="C39" s="29"/>
      <c r="D39" s="25">
        <v>222116113609</v>
      </c>
      <c r="E39" s="22">
        <v>-2851667712</v>
      </c>
      <c r="F39" s="24">
        <v>8.3000000000000001E-3</v>
      </c>
    </row>
    <row r="40" spans="1:6" x14ac:dyDescent="0.25">
      <c r="A40" s="18">
        <v>46238</v>
      </c>
      <c r="B40" s="29">
        <v>95992</v>
      </c>
      <c r="C40" s="29"/>
      <c r="D40" s="25">
        <v>223759283155</v>
      </c>
      <c r="E40" s="22">
        <v>-2851667712</v>
      </c>
      <c r="F40" s="24">
        <v>7.4000000000000003E-3</v>
      </c>
    </row>
    <row r="41" spans="1:6" x14ac:dyDescent="0.25">
      <c r="F41" s="24"/>
    </row>
    <row r="42" spans="1:6" x14ac:dyDescent="0.25">
      <c r="F42" s="24"/>
    </row>
    <row r="43" spans="1:6" x14ac:dyDescent="0.25">
      <c r="F43" s="24"/>
    </row>
    <row r="44" spans="1:6" x14ac:dyDescent="0.25">
      <c r="F44" s="24"/>
    </row>
  </sheetData>
  <mergeCells count="12">
    <mergeCell ref="B40:C40"/>
    <mergeCell ref="B39:C39"/>
    <mergeCell ref="B38:C38"/>
    <mergeCell ref="B37:C37"/>
    <mergeCell ref="B36:C36"/>
    <mergeCell ref="A29:B29"/>
    <mergeCell ref="A30:B30"/>
    <mergeCell ref="B31:C31"/>
    <mergeCell ref="B32:C32"/>
    <mergeCell ref="B35:C35"/>
    <mergeCell ref="B34:C34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topLeftCell="A28" workbookViewId="0">
      <selection activeCell="G70" sqref="G70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-9.9956540634506705</v>
      </c>
      <c r="D2" s="4">
        <f>B2*C2/100</f>
        <v>-0.89161234245979981</v>
      </c>
    </row>
    <row r="3" spans="1:4" x14ac:dyDescent="0.25">
      <c r="A3" s="4" t="s">
        <v>14</v>
      </c>
      <c r="B3" s="4">
        <v>8.81</v>
      </c>
      <c r="C3" s="14">
        <v>6.8</v>
      </c>
      <c r="D3" s="4">
        <f t="shared" ref="D3:D43" si="0">B3*C3/100</f>
        <v>0.59908000000000006</v>
      </c>
    </row>
    <row r="4" spans="1:4" x14ac:dyDescent="0.25">
      <c r="A4" s="4" t="s">
        <v>12</v>
      </c>
      <c r="B4" s="4">
        <v>8.2799999999999994</v>
      </c>
      <c r="C4" s="14">
        <v>-9.9594672843080492</v>
      </c>
      <c r="D4" s="4">
        <f t="shared" si="0"/>
        <v>-0.82464389114070646</v>
      </c>
    </row>
    <row r="5" spans="1:4" x14ac:dyDescent="0.25">
      <c r="A5" s="4" t="s">
        <v>15</v>
      </c>
      <c r="B5" s="4">
        <v>6.17</v>
      </c>
      <c r="C5" s="14">
        <v>9.0322580645161299</v>
      </c>
      <c r="D5" s="4">
        <f t="shared" si="0"/>
        <v>0.55729032258064526</v>
      </c>
    </row>
    <row r="6" spans="1:4" x14ac:dyDescent="0.25">
      <c r="A6" s="4" t="s">
        <v>9</v>
      </c>
      <c r="B6" s="4">
        <v>4.75</v>
      </c>
      <c r="C6" s="14">
        <v>9.7781429745275208</v>
      </c>
      <c r="D6" s="4">
        <f t="shared" si="0"/>
        <v>0.46446179129005721</v>
      </c>
    </row>
    <row r="7" spans="1:4" x14ac:dyDescent="0.25">
      <c r="A7" s="4" t="s">
        <v>16</v>
      </c>
      <c r="B7" s="4">
        <v>4.42</v>
      </c>
      <c r="C7" s="14">
        <v>0.95541401273885296</v>
      </c>
      <c r="D7" s="4">
        <f t="shared" si="0"/>
        <v>4.2229299363057304E-2</v>
      </c>
    </row>
    <row r="8" spans="1:4" x14ac:dyDescent="0.25">
      <c r="A8" s="4" t="s">
        <v>19</v>
      </c>
      <c r="B8" s="4">
        <v>3.77</v>
      </c>
      <c r="C8" s="14">
        <v>4.1009463722397399</v>
      </c>
      <c r="D8" s="4">
        <f t="shared" si="0"/>
        <v>0.15460567823343818</v>
      </c>
    </row>
    <row r="9" spans="1:4" x14ac:dyDescent="0.25">
      <c r="A9" s="4" t="s">
        <v>18</v>
      </c>
      <c r="B9" s="4">
        <v>3.6</v>
      </c>
      <c r="C9" s="14">
        <v>2.0380434782608599</v>
      </c>
      <c r="D9" s="4">
        <f t="shared" si="0"/>
        <v>7.336956521739095E-2</v>
      </c>
    </row>
    <row r="10" spans="1:4" x14ac:dyDescent="0.25">
      <c r="A10" s="4" t="s">
        <v>20</v>
      </c>
      <c r="B10" s="4">
        <v>3.37</v>
      </c>
      <c r="C10" s="14">
        <v>3.7851037851037801</v>
      </c>
      <c r="D10" s="4">
        <f t="shared" si="0"/>
        <v>0.12755799755799738</v>
      </c>
    </row>
    <row r="11" spans="1:4" x14ac:dyDescent="0.25">
      <c r="A11" s="4" t="s">
        <v>55</v>
      </c>
      <c r="B11" s="4">
        <v>2.68</v>
      </c>
      <c r="C11" s="14">
        <v>-2.8859060402684502</v>
      </c>
      <c r="D11" s="4">
        <f t="shared" si="0"/>
        <v>-7.7342281879194466E-2</v>
      </c>
    </row>
    <row r="12" spans="1:4" x14ac:dyDescent="0.25">
      <c r="A12" s="4" t="s">
        <v>0</v>
      </c>
      <c r="B12" s="4">
        <v>2.58</v>
      </c>
      <c r="C12" s="14">
        <v>-5.2847915443335296</v>
      </c>
      <c r="D12" s="4">
        <f t="shared" si="0"/>
        <v>-0.13634762184380508</v>
      </c>
    </row>
    <row r="13" spans="1:4" x14ac:dyDescent="0.25">
      <c r="A13" s="4" t="s">
        <v>25</v>
      </c>
      <c r="B13" s="4">
        <v>2.4500000000000002</v>
      </c>
      <c r="C13" s="14">
        <v>1.6840417000801899</v>
      </c>
      <c r="D13" s="4">
        <f t="shared" si="0"/>
        <v>4.1259021651964656E-2</v>
      </c>
    </row>
    <row r="14" spans="1:4" x14ac:dyDescent="0.25">
      <c r="A14" s="4" t="s">
        <v>6</v>
      </c>
      <c r="B14" s="4">
        <v>2.0499999999999998</v>
      </c>
      <c r="C14" s="14">
        <v>4.1322314049586701</v>
      </c>
      <c r="D14" s="4">
        <f t="shared" si="0"/>
        <v>8.4710743801652735E-2</v>
      </c>
    </row>
    <row r="15" spans="1:4" x14ac:dyDescent="0.25">
      <c r="A15" s="4" t="s">
        <v>17</v>
      </c>
      <c r="B15" s="4">
        <v>1.73</v>
      </c>
      <c r="C15" s="14">
        <v>-4.2869641294838097</v>
      </c>
      <c r="D15" s="4">
        <f t="shared" si="0"/>
        <v>-7.4164479440069903E-2</v>
      </c>
    </row>
    <row r="16" spans="1:4" x14ac:dyDescent="0.25">
      <c r="A16" s="4" t="s">
        <v>22</v>
      </c>
      <c r="B16" s="4">
        <v>1.64</v>
      </c>
      <c r="C16" s="14">
        <v>-2.3980815347721798</v>
      </c>
      <c r="D16" s="4">
        <f t="shared" si="0"/>
        <v>-3.9328537170263744E-2</v>
      </c>
    </row>
    <row r="17" spans="1:4" x14ac:dyDescent="0.25">
      <c r="A17" s="4" t="s">
        <v>23</v>
      </c>
      <c r="B17" s="4">
        <v>1.62</v>
      </c>
      <c r="C17" s="14">
        <v>2.4260355029585798</v>
      </c>
      <c r="D17" s="4">
        <f t="shared" si="0"/>
        <v>3.9301775147928993E-2</v>
      </c>
    </row>
    <row r="18" spans="1:4" x14ac:dyDescent="0.25">
      <c r="A18" s="4" t="s">
        <v>26</v>
      </c>
      <c r="B18" s="4">
        <v>1.48</v>
      </c>
      <c r="C18" s="14">
        <v>-2.8827674567584798</v>
      </c>
      <c r="D18" s="4">
        <f t="shared" si="0"/>
        <v>-4.2664958360025498E-2</v>
      </c>
    </row>
    <row r="19" spans="1:4" x14ac:dyDescent="0.25">
      <c r="A19" s="4" t="s">
        <v>21</v>
      </c>
      <c r="B19" s="4">
        <v>1.4</v>
      </c>
      <c r="C19" s="14">
        <v>4.55227613806903</v>
      </c>
      <c r="D19" s="4">
        <f t="shared" si="0"/>
        <v>6.3731865932966411E-2</v>
      </c>
    </row>
    <row r="20" spans="1:4" x14ac:dyDescent="0.25">
      <c r="A20" s="4" t="s">
        <v>24</v>
      </c>
      <c r="B20" s="4">
        <v>1.3</v>
      </c>
      <c r="C20" s="14">
        <v>-0.10157440325038</v>
      </c>
      <c r="D20" s="4">
        <f t="shared" si="0"/>
        <v>-1.3204672422549401E-3</v>
      </c>
    </row>
    <row r="21" spans="1:4" x14ac:dyDescent="0.25">
      <c r="A21" s="4" t="s">
        <v>28</v>
      </c>
      <c r="B21" s="4">
        <v>1.26</v>
      </c>
      <c r="C21" s="14">
        <v>3.4313725490196001</v>
      </c>
      <c r="D21" s="4">
        <f t="shared" si="0"/>
        <v>4.3235294117646955E-2</v>
      </c>
    </row>
    <row r="22" spans="1:4" x14ac:dyDescent="0.25">
      <c r="A22" s="4" t="s">
        <v>29</v>
      </c>
      <c r="B22" s="4">
        <v>1.2</v>
      </c>
      <c r="C22" s="14">
        <v>3.6466774716369499</v>
      </c>
      <c r="D22" s="4">
        <f t="shared" si="0"/>
        <v>4.3760129659643397E-2</v>
      </c>
    </row>
    <row r="23" spans="1:4" x14ac:dyDescent="0.25">
      <c r="A23" s="4" t="s">
        <v>3</v>
      </c>
      <c r="B23" s="4">
        <v>0.73</v>
      </c>
      <c r="C23" s="14">
        <v>-0.20366598778004</v>
      </c>
      <c r="D23" s="4">
        <f t="shared" si="0"/>
        <v>-1.4867617107942918E-3</v>
      </c>
    </row>
    <row r="24" spans="1:4" x14ac:dyDescent="0.25">
      <c r="A24" s="4" t="s">
        <v>33</v>
      </c>
      <c r="B24" s="4">
        <v>0.71</v>
      </c>
      <c r="C24" s="14">
        <v>2.3529411764705799</v>
      </c>
      <c r="D24" s="4">
        <f t="shared" si="0"/>
        <v>1.6705882352941116E-2</v>
      </c>
    </row>
    <row r="25" spans="1:4" x14ac:dyDescent="0.25">
      <c r="A25" s="4" t="s">
        <v>7</v>
      </c>
      <c r="B25" s="4">
        <v>0.59</v>
      </c>
      <c r="C25" s="8">
        <v>1.2610340479192901</v>
      </c>
      <c r="D25" s="4">
        <f t="shared" si="0"/>
        <v>7.4401008827238114E-3</v>
      </c>
    </row>
    <row r="26" spans="1:4" x14ac:dyDescent="0.25">
      <c r="A26" s="4" t="s">
        <v>27</v>
      </c>
      <c r="B26" s="4">
        <v>0.56000000000000005</v>
      </c>
      <c r="C26" s="8">
        <v>-2.1864211737629402</v>
      </c>
      <c r="D26" s="4">
        <f t="shared" si="0"/>
        <v>-1.2243958573072467E-2</v>
      </c>
    </row>
    <row r="27" spans="1:4" x14ac:dyDescent="0.25">
      <c r="A27" s="4" t="s">
        <v>39</v>
      </c>
      <c r="B27" s="4">
        <v>0.4</v>
      </c>
      <c r="C27" s="8">
        <v>2.0134228187919399</v>
      </c>
      <c r="D27" s="4">
        <f t="shared" si="0"/>
        <v>8.0536912751677601E-3</v>
      </c>
    </row>
    <row r="28" spans="1:4" x14ac:dyDescent="0.25">
      <c r="A28" s="4" t="s">
        <v>31</v>
      </c>
      <c r="B28" s="4">
        <v>0.39</v>
      </c>
      <c r="C28" s="8">
        <v>-3.34572490706319</v>
      </c>
      <c r="D28" s="4">
        <f t="shared" si="0"/>
        <v>-1.3048327137546443E-2</v>
      </c>
    </row>
    <row r="29" spans="1:4" x14ac:dyDescent="0.25">
      <c r="A29" s="4" t="s">
        <v>30</v>
      </c>
      <c r="B29" s="4">
        <v>0.36</v>
      </c>
      <c r="C29" s="8">
        <v>-0.62785388127853803</v>
      </c>
      <c r="D29" s="4">
        <f t="shared" si="0"/>
        <v>-2.2602739726027368E-3</v>
      </c>
    </row>
    <row r="30" spans="1:4" x14ac:dyDescent="0.25">
      <c r="A30" s="4" t="s">
        <v>34</v>
      </c>
      <c r="B30" s="4">
        <v>0.34</v>
      </c>
      <c r="C30" s="8">
        <v>-1.6153846153846101</v>
      </c>
      <c r="D30" s="4">
        <f t="shared" si="0"/>
        <v>-5.4923076923076748E-3</v>
      </c>
    </row>
    <row r="31" spans="1:4" x14ac:dyDescent="0.25">
      <c r="A31" s="4" t="s">
        <v>57</v>
      </c>
      <c r="B31" s="4">
        <v>0.34</v>
      </c>
      <c r="C31" s="8">
        <v>1.16279069767441</v>
      </c>
      <c r="D31" s="4">
        <f t="shared" si="0"/>
        <v>3.9534883720929942E-3</v>
      </c>
    </row>
    <row r="32" spans="1:4" x14ac:dyDescent="0.25">
      <c r="A32" s="4" t="s">
        <v>58</v>
      </c>
      <c r="B32" s="4">
        <v>0.33</v>
      </c>
      <c r="C32" s="8">
        <v>2.29990800367985</v>
      </c>
      <c r="D32" s="4">
        <f t="shared" si="0"/>
        <v>7.589696412143505E-3</v>
      </c>
    </row>
    <row r="33" spans="1:5" x14ac:dyDescent="0.25">
      <c r="A33" s="4" t="s">
        <v>2</v>
      </c>
      <c r="B33" s="11">
        <v>0.26</v>
      </c>
      <c r="C33" s="15">
        <v>1.05555555555555</v>
      </c>
      <c r="D33" s="4">
        <f t="shared" si="0"/>
        <v>2.74444444444443E-3</v>
      </c>
    </row>
    <row r="34" spans="1:5" x14ac:dyDescent="0.25">
      <c r="A34" s="4" t="s">
        <v>32</v>
      </c>
      <c r="B34" s="4">
        <v>0.18</v>
      </c>
      <c r="C34" s="8">
        <v>-1.8348623853210999</v>
      </c>
      <c r="D34" s="4">
        <f t="shared" si="0"/>
        <v>-3.3027522935779796E-3</v>
      </c>
    </row>
    <row r="35" spans="1:5" x14ac:dyDescent="0.25">
      <c r="A35" s="4" t="s">
        <v>4</v>
      </c>
      <c r="B35" s="4">
        <v>0.12</v>
      </c>
      <c r="C35" s="8">
        <v>-0.269687162891046</v>
      </c>
      <c r="D35" s="4">
        <f t="shared" si="0"/>
        <v>-3.2362459546925513E-4</v>
      </c>
    </row>
    <row r="36" spans="1:5" x14ac:dyDescent="0.25">
      <c r="A36" s="4" t="s">
        <v>59</v>
      </c>
      <c r="B36" s="4">
        <v>7.0000000000000007E-2</v>
      </c>
      <c r="C36" s="8">
        <v>1.1157601115760101</v>
      </c>
      <c r="D36" s="4">
        <f t="shared" si="0"/>
        <v>7.8103207810320703E-4</v>
      </c>
    </row>
    <row r="37" spans="1:5" x14ac:dyDescent="0.25">
      <c r="A37" s="4" t="s">
        <v>60</v>
      </c>
      <c r="B37" s="4">
        <v>0.05</v>
      </c>
      <c r="C37" s="8">
        <v>-4.3253408556652504</v>
      </c>
      <c r="D37" s="4">
        <f t="shared" si="0"/>
        <v>-2.1626704278326254E-3</v>
      </c>
    </row>
    <row r="38" spans="1:5" x14ac:dyDescent="0.25">
      <c r="A38" s="4" t="s">
        <v>61</v>
      </c>
      <c r="B38" s="4">
        <v>0.04</v>
      </c>
      <c r="C38" s="8">
        <v>9.9742599742599705</v>
      </c>
      <c r="D38" s="4">
        <f t="shared" si="0"/>
        <v>3.9897039897039879E-3</v>
      </c>
    </row>
    <row r="39" spans="1:5" x14ac:dyDescent="0.25">
      <c r="A39" s="4" t="s">
        <v>62</v>
      </c>
      <c r="B39" s="4">
        <v>0.04</v>
      </c>
      <c r="C39" s="8">
        <v>0.48192771084337299</v>
      </c>
      <c r="D39" s="4">
        <f t="shared" si="0"/>
        <v>1.927710843373492E-4</v>
      </c>
    </row>
    <row r="40" spans="1:5" x14ac:dyDescent="0.25">
      <c r="A40" s="4" t="s">
        <v>35</v>
      </c>
      <c r="B40" s="4">
        <v>0.3</v>
      </c>
      <c r="C40" s="8">
        <v>1.5056461731493</v>
      </c>
      <c r="D40" s="4">
        <f t="shared" si="0"/>
        <v>4.5169385194479003E-3</v>
      </c>
    </row>
    <row r="41" spans="1:5" x14ac:dyDescent="0.25">
      <c r="A41" s="4" t="s">
        <v>41</v>
      </c>
      <c r="B41" s="4">
        <v>8.33</v>
      </c>
      <c r="C41" s="4">
        <v>-0.89</v>
      </c>
      <c r="D41" s="4">
        <f t="shared" si="0"/>
        <v>-7.4137000000000008E-2</v>
      </c>
    </row>
    <row r="42" spans="1:5" x14ac:dyDescent="0.25">
      <c r="A42" s="4" t="s">
        <v>42</v>
      </c>
      <c r="B42" s="4">
        <v>8.27</v>
      </c>
      <c r="C42" s="4">
        <v>0.15</v>
      </c>
      <c r="D42" s="4">
        <f t="shared" si="0"/>
        <v>1.2404999999999999E-2</v>
      </c>
    </row>
    <row r="43" spans="1:5" x14ac:dyDescent="0.25">
      <c r="A43" s="4" t="s">
        <v>56</v>
      </c>
      <c r="B43" s="4">
        <v>2.56</v>
      </c>
      <c r="C43" s="4">
        <v>0.38</v>
      </c>
      <c r="D43" s="4">
        <f t="shared" si="0"/>
        <v>9.7280000000000005E-3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0.21081197802617213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7"/>
    </row>
    <row r="50" spans="1:6" x14ac:dyDescent="0.25">
      <c r="A50" s="29"/>
      <c r="B50" s="29"/>
      <c r="C50" s="9"/>
      <c r="D50" s="9"/>
    </row>
    <row r="55" spans="1:6" x14ac:dyDescent="0.25">
      <c r="A55" s="5" t="s">
        <v>68</v>
      </c>
      <c r="B55" s="30" t="s">
        <v>52</v>
      </c>
      <c r="C55" s="30"/>
      <c r="D55" s="20" t="s">
        <v>53</v>
      </c>
      <c r="E55" s="5" t="s">
        <v>67</v>
      </c>
      <c r="F55" s="5" t="s">
        <v>69</v>
      </c>
    </row>
    <row r="56" spans="1:6" x14ac:dyDescent="0.25">
      <c r="A56" s="18">
        <v>46226</v>
      </c>
      <c r="B56" s="29">
        <v>160454</v>
      </c>
      <c r="C56" s="29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9">
        <v>159246</v>
      </c>
      <c r="C57" s="29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9">
        <v>159672</v>
      </c>
      <c r="C58" s="29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9">
        <v>160788</v>
      </c>
      <c r="C59" s="29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9">
        <v>162385</v>
      </c>
      <c r="C60" s="29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>
        <v>46233</v>
      </c>
      <c r="B61" s="29">
        <v>160805</v>
      </c>
      <c r="C61" s="29"/>
      <c r="D61" s="21">
        <v>69072635445</v>
      </c>
      <c r="E61" s="21">
        <v>-1972729322</v>
      </c>
      <c r="F61" s="24">
        <v>-1.6799999999999999E-2</v>
      </c>
    </row>
    <row r="62" spans="1:6" x14ac:dyDescent="0.25">
      <c r="A62" s="18">
        <v>46234</v>
      </c>
      <c r="B62" s="29">
        <v>159675</v>
      </c>
      <c r="C62" s="29"/>
      <c r="D62" s="21">
        <v>63472489182</v>
      </c>
      <c r="E62" s="21">
        <v>-4926393640</v>
      </c>
      <c r="F62" s="24">
        <v>-9.7999999999999997E-3</v>
      </c>
    </row>
    <row r="63" spans="1:6" x14ac:dyDescent="0.25">
      <c r="A63" s="18">
        <v>46237</v>
      </c>
      <c r="B63" s="29">
        <v>154990</v>
      </c>
      <c r="C63" s="29"/>
      <c r="D63" s="21">
        <v>57303637201</v>
      </c>
      <c r="E63" s="21">
        <v>-6263046591</v>
      </c>
      <c r="F63" s="24">
        <v>1.5E-3</v>
      </c>
    </row>
    <row r="64" spans="1:6" x14ac:dyDescent="0.25">
      <c r="A64" s="18">
        <v>46238</v>
      </c>
      <c r="B64" s="29">
        <v>147034</v>
      </c>
      <c r="C64" s="29"/>
      <c r="D64" s="21">
        <v>51950990933</v>
      </c>
      <c r="E64" s="21">
        <v>-5284511372</v>
      </c>
      <c r="F64" s="24">
        <v>-1.1999999999999999E-3</v>
      </c>
    </row>
    <row r="65" spans="1:6" x14ac:dyDescent="0.25">
      <c r="A65" s="18"/>
      <c r="B65" s="29"/>
      <c r="C65" s="29"/>
      <c r="D65" s="19"/>
      <c r="E65" s="22"/>
      <c r="F65" s="24"/>
    </row>
    <row r="66" spans="1:6" x14ac:dyDescent="0.25">
      <c r="A66" s="18"/>
      <c r="B66" s="29"/>
      <c r="C66" s="29"/>
      <c r="D66" s="19"/>
      <c r="E66" s="22"/>
      <c r="F66" s="24"/>
    </row>
    <row r="67" spans="1:6" x14ac:dyDescent="0.25">
      <c r="A67" s="18"/>
      <c r="B67" s="29"/>
      <c r="C67" s="29"/>
      <c r="D67" s="19"/>
      <c r="E67" s="22"/>
      <c r="F67" s="24"/>
    </row>
    <row r="68" spans="1:6" x14ac:dyDescent="0.25">
      <c r="A68" s="18"/>
      <c r="B68" s="29"/>
      <c r="C68" s="29"/>
      <c r="D68" s="19"/>
      <c r="E68" s="22"/>
      <c r="F68" s="24"/>
    </row>
    <row r="69" spans="1:6" x14ac:dyDescent="0.25">
      <c r="A69" s="18"/>
      <c r="B69" s="29"/>
      <c r="C69" s="29"/>
      <c r="D69" s="19"/>
      <c r="E69" s="22"/>
      <c r="F69" s="24"/>
    </row>
    <row r="70" spans="1:6" x14ac:dyDescent="0.25">
      <c r="A70" s="18"/>
      <c r="B70" s="29"/>
      <c r="C70" s="29"/>
      <c r="D70" s="19"/>
      <c r="E70" s="22"/>
      <c r="F70" s="24"/>
    </row>
    <row r="71" spans="1:6" x14ac:dyDescent="0.25">
      <c r="A71" s="18"/>
      <c r="B71" s="29"/>
      <c r="C71" s="29"/>
      <c r="D71" s="19"/>
      <c r="E71" s="22"/>
      <c r="F71" s="24"/>
    </row>
    <row r="72" spans="1:6" x14ac:dyDescent="0.25">
      <c r="A72" s="18"/>
      <c r="B72" s="29"/>
      <c r="C72" s="29"/>
      <c r="D72" s="19"/>
      <c r="E72" s="22"/>
      <c r="F72" s="24"/>
    </row>
    <row r="73" spans="1:6" x14ac:dyDescent="0.25">
      <c r="A73" s="18"/>
      <c r="B73" s="29"/>
      <c r="C73" s="29"/>
      <c r="D73" s="19"/>
      <c r="E73" s="22"/>
      <c r="F73" s="24"/>
    </row>
    <row r="74" spans="1:6" x14ac:dyDescent="0.25">
      <c r="A74" s="18"/>
      <c r="B74" s="29"/>
      <c r="C74" s="29"/>
      <c r="D74" s="19"/>
      <c r="E74" s="22"/>
      <c r="F74" s="24"/>
    </row>
    <row r="75" spans="1:6" x14ac:dyDescent="0.25">
      <c r="A75" s="18"/>
      <c r="B75" s="29"/>
      <c r="C75" s="29"/>
      <c r="D75" s="19"/>
      <c r="E75" s="22"/>
      <c r="F75" s="24"/>
    </row>
    <row r="76" spans="1:6" x14ac:dyDescent="0.25">
      <c r="A76" s="18"/>
      <c r="B76" s="29"/>
      <c r="C76" s="29"/>
      <c r="D76" s="19"/>
      <c r="E76" s="22"/>
      <c r="F76" s="24"/>
    </row>
    <row r="77" spans="1:6" x14ac:dyDescent="0.25">
      <c r="A77" s="18"/>
      <c r="B77" s="29"/>
      <c r="C77" s="29"/>
      <c r="D77" s="19"/>
      <c r="E77" s="22"/>
      <c r="F77" s="24"/>
    </row>
    <row r="78" spans="1:6" x14ac:dyDescent="0.25">
      <c r="A78" s="18"/>
      <c r="B78" s="29"/>
      <c r="C78" s="29"/>
      <c r="D78" s="19"/>
      <c r="E78" s="22"/>
      <c r="F78" s="24"/>
    </row>
    <row r="79" spans="1:6" x14ac:dyDescent="0.25">
      <c r="A79" s="18"/>
      <c r="B79" s="29"/>
      <c r="C79" s="29"/>
      <c r="D79" s="19"/>
      <c r="E79" s="22"/>
      <c r="F79" s="24"/>
    </row>
    <row r="80" spans="1:6" x14ac:dyDescent="0.25">
      <c r="A80" s="18"/>
      <c r="B80" s="29"/>
      <c r="C80" s="29"/>
      <c r="D80" s="19"/>
      <c r="E80" s="22"/>
      <c r="F80" s="24"/>
    </row>
    <row r="81" spans="1:6" x14ac:dyDescent="0.25">
      <c r="A81" s="18"/>
      <c r="B81" s="29"/>
      <c r="C81" s="29"/>
      <c r="D81" s="19"/>
      <c r="E81" s="22"/>
      <c r="F81" s="24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topLeftCell="A22" workbookViewId="0">
      <selection activeCell="G68" sqref="G68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6.8</v>
      </c>
      <c r="D2" s="4">
        <f>B2*C2/100</f>
        <v>0.65620000000000001</v>
      </c>
    </row>
    <row r="3" spans="1:4" x14ac:dyDescent="0.25">
      <c r="A3" s="4" t="s">
        <v>13</v>
      </c>
      <c r="B3" s="4">
        <v>9.2899999999999991</v>
      </c>
      <c r="C3" s="8">
        <v>-9.9956540634506705</v>
      </c>
      <c r="D3" s="4">
        <f t="shared" ref="D3:D36" si="0">B3*C3/100</f>
        <v>-0.92859626249456728</v>
      </c>
    </row>
    <row r="4" spans="1:4" x14ac:dyDescent="0.25">
      <c r="A4" s="4" t="s">
        <v>12</v>
      </c>
      <c r="B4" s="4">
        <v>9.24</v>
      </c>
      <c r="C4" s="8">
        <v>-9.9594672843080492</v>
      </c>
      <c r="D4" s="4">
        <f t="shared" si="0"/>
        <v>-0.92025477707006376</v>
      </c>
    </row>
    <row r="5" spans="1:4" x14ac:dyDescent="0.25">
      <c r="A5" s="4" t="s">
        <v>55</v>
      </c>
      <c r="B5" s="4">
        <v>6.09</v>
      </c>
      <c r="C5" s="8">
        <v>-2.8859060402684502</v>
      </c>
      <c r="D5" s="4">
        <f t="shared" si="0"/>
        <v>-0.1757516778523486</v>
      </c>
    </row>
    <row r="6" spans="1:4" x14ac:dyDescent="0.25">
      <c r="A6" s="4" t="s">
        <v>9</v>
      </c>
      <c r="B6" s="4">
        <v>4.7300000000000004</v>
      </c>
      <c r="C6" s="8">
        <v>9.7781429745275208</v>
      </c>
      <c r="D6" s="4">
        <f t="shared" si="0"/>
        <v>0.46250616269515177</v>
      </c>
    </row>
    <row r="7" spans="1:4" x14ac:dyDescent="0.25">
      <c r="A7" s="4" t="s">
        <v>15</v>
      </c>
      <c r="B7" s="4">
        <v>4.5199999999999996</v>
      </c>
      <c r="C7" s="8">
        <v>9.0322580645161299</v>
      </c>
      <c r="D7" s="4">
        <f t="shared" si="0"/>
        <v>0.40825806451612906</v>
      </c>
    </row>
    <row r="8" spans="1:4" x14ac:dyDescent="0.25">
      <c r="A8" s="4" t="s">
        <v>18</v>
      </c>
      <c r="B8" s="4">
        <v>3.4</v>
      </c>
      <c r="C8" s="8">
        <v>2.0380434782608599</v>
      </c>
      <c r="D8" s="4">
        <f t="shared" si="0"/>
        <v>6.9293478260869235E-2</v>
      </c>
    </row>
    <row r="9" spans="1:4" x14ac:dyDescent="0.25">
      <c r="A9" s="4" t="s">
        <v>16</v>
      </c>
      <c r="B9" s="4">
        <v>2.73</v>
      </c>
      <c r="C9" s="8">
        <v>0.95541401273885296</v>
      </c>
      <c r="D9" s="4">
        <f t="shared" si="0"/>
        <v>2.6082802547770685E-2</v>
      </c>
    </row>
    <row r="10" spans="1:4" x14ac:dyDescent="0.25">
      <c r="A10" s="4" t="s">
        <v>6</v>
      </c>
      <c r="B10" s="4">
        <v>2.2999999999999998</v>
      </c>
      <c r="C10" s="8">
        <v>4.1322314049586701</v>
      </c>
      <c r="D10" s="4">
        <f t="shared" si="0"/>
        <v>9.5041322314049395E-2</v>
      </c>
    </row>
    <row r="11" spans="1:4" x14ac:dyDescent="0.25">
      <c r="A11" s="4" t="s">
        <v>21</v>
      </c>
      <c r="B11" s="4">
        <v>1.67</v>
      </c>
      <c r="C11" s="8">
        <v>4.55227613806903</v>
      </c>
      <c r="D11" s="4">
        <f t="shared" si="0"/>
        <v>7.6023011505752802E-2</v>
      </c>
    </row>
    <row r="12" spans="1:4" x14ac:dyDescent="0.25">
      <c r="A12" s="4" t="s">
        <v>17</v>
      </c>
      <c r="B12" s="4">
        <v>1.58</v>
      </c>
      <c r="C12" s="8">
        <v>-4.2869641294838097</v>
      </c>
      <c r="D12" s="4">
        <f t="shared" si="0"/>
        <v>-6.7734033245844205E-2</v>
      </c>
    </row>
    <row r="13" spans="1:4" x14ac:dyDescent="0.25">
      <c r="A13" s="4" t="s">
        <v>0</v>
      </c>
      <c r="B13" s="4">
        <v>1.57</v>
      </c>
      <c r="C13" s="8">
        <v>-5.2847915443335296</v>
      </c>
      <c r="D13" s="4">
        <f t="shared" si="0"/>
        <v>-8.2971227246036408E-2</v>
      </c>
    </row>
    <row r="14" spans="1:4" x14ac:dyDescent="0.25">
      <c r="A14" s="4" t="s">
        <v>19</v>
      </c>
      <c r="B14" s="4">
        <v>1.1299999999999999</v>
      </c>
      <c r="C14" s="8">
        <v>4.1009463722397399</v>
      </c>
      <c r="D14" s="4">
        <f t="shared" si="0"/>
        <v>4.6340694006309052E-2</v>
      </c>
    </row>
    <row r="15" spans="1:4" x14ac:dyDescent="0.25">
      <c r="A15" s="4" t="s">
        <v>20</v>
      </c>
      <c r="B15" s="4">
        <v>1.03</v>
      </c>
      <c r="C15" s="8">
        <v>3.7851037851037801</v>
      </c>
      <c r="D15" s="4">
        <f t="shared" si="0"/>
        <v>3.8986568986568937E-2</v>
      </c>
    </row>
    <row r="16" spans="1:4" x14ac:dyDescent="0.25">
      <c r="A16" s="4" t="s">
        <v>22</v>
      </c>
      <c r="B16" s="4">
        <v>0.98</v>
      </c>
      <c r="C16" s="8">
        <v>-2.3980815347721798</v>
      </c>
      <c r="D16" s="4">
        <f t="shared" si="0"/>
        <v>-2.3501199040767359E-2</v>
      </c>
    </row>
    <row r="17" spans="1:4" x14ac:dyDescent="0.25">
      <c r="A17" s="4" t="s">
        <v>36</v>
      </c>
      <c r="B17" s="4">
        <v>0.87</v>
      </c>
      <c r="C17" s="8">
        <v>-9.8995695839311306</v>
      </c>
      <c r="D17" s="4">
        <f t="shared" si="0"/>
        <v>-8.6126255380200828E-2</v>
      </c>
    </row>
    <row r="18" spans="1:4" x14ac:dyDescent="0.25">
      <c r="A18" s="4" t="s">
        <v>27</v>
      </c>
      <c r="B18" s="4">
        <v>0.59</v>
      </c>
      <c r="C18" s="8">
        <v>-2.1864211737629402</v>
      </c>
      <c r="D18" s="4">
        <f t="shared" si="0"/>
        <v>-1.2899884925201346E-2</v>
      </c>
    </row>
    <row r="19" spans="1:4" x14ac:dyDescent="0.25">
      <c r="A19" s="4" t="s">
        <v>60</v>
      </c>
      <c r="B19" s="4">
        <v>0.5</v>
      </c>
      <c r="C19" s="8">
        <v>-4.3253408556652504</v>
      </c>
      <c r="D19" s="4">
        <f t="shared" si="0"/>
        <v>-2.1626704278326251E-2</v>
      </c>
    </row>
    <row r="20" spans="1:4" x14ac:dyDescent="0.25">
      <c r="A20" s="4" t="s">
        <v>39</v>
      </c>
      <c r="B20" s="4">
        <v>0.48</v>
      </c>
      <c r="C20" s="8">
        <v>2.0134228187919399</v>
      </c>
      <c r="D20" s="4">
        <f t="shared" si="0"/>
        <v>9.6644295302013104E-3</v>
      </c>
    </row>
    <row r="21" spans="1:4" x14ac:dyDescent="0.25">
      <c r="A21" s="4" t="s">
        <v>28</v>
      </c>
      <c r="B21" s="4">
        <v>0.42</v>
      </c>
      <c r="C21" s="8">
        <v>3.4313725490196001</v>
      </c>
      <c r="D21" s="4">
        <f t="shared" si="0"/>
        <v>1.441176470588232E-2</v>
      </c>
    </row>
    <row r="22" spans="1:4" x14ac:dyDescent="0.25">
      <c r="A22" s="4" t="s">
        <v>37</v>
      </c>
      <c r="B22" s="4">
        <v>0.4</v>
      </c>
      <c r="C22" s="8">
        <v>-0.67901234567901203</v>
      </c>
      <c r="D22" s="4">
        <f t="shared" si="0"/>
        <v>-2.716049382716048E-3</v>
      </c>
    </row>
    <row r="23" spans="1:4" x14ac:dyDescent="0.25">
      <c r="A23" s="4" t="s">
        <v>33</v>
      </c>
      <c r="B23" s="4">
        <v>0.38</v>
      </c>
      <c r="C23" s="8">
        <v>2.3529411764705799</v>
      </c>
      <c r="D23" s="4">
        <f t="shared" si="0"/>
        <v>8.9411764705882042E-3</v>
      </c>
    </row>
    <row r="24" spans="1:4" x14ac:dyDescent="0.25">
      <c r="A24" s="4" t="s">
        <v>2</v>
      </c>
      <c r="B24" s="4">
        <v>0.25</v>
      </c>
      <c r="C24" s="8">
        <v>1.05555555555555</v>
      </c>
      <c r="D24" s="4">
        <f t="shared" si="0"/>
        <v>2.6388888888888751E-3</v>
      </c>
    </row>
    <row r="25" spans="1:4" x14ac:dyDescent="0.25">
      <c r="A25" s="4" t="s">
        <v>38</v>
      </c>
      <c r="B25" s="4">
        <v>0.25</v>
      </c>
      <c r="C25" s="8">
        <v>-2.7420736932305001</v>
      </c>
      <c r="D25" s="4">
        <f t="shared" si="0"/>
        <v>-6.8551842330762504E-3</v>
      </c>
    </row>
    <row r="26" spans="1:4" x14ac:dyDescent="0.25">
      <c r="A26" s="4" t="s">
        <v>34</v>
      </c>
      <c r="B26" s="4">
        <v>0.24</v>
      </c>
      <c r="C26" s="8">
        <v>-1.6153846153846101</v>
      </c>
      <c r="D26" s="4">
        <f t="shared" si="0"/>
        <v>-3.8769230769230638E-3</v>
      </c>
    </row>
    <row r="27" spans="1:4" x14ac:dyDescent="0.25">
      <c r="A27" s="4" t="s">
        <v>3</v>
      </c>
      <c r="B27" s="4">
        <v>0.23</v>
      </c>
      <c r="C27" s="8">
        <v>-0.20366598778004</v>
      </c>
      <c r="D27" s="4">
        <f t="shared" si="0"/>
        <v>-4.6843177189409205E-4</v>
      </c>
    </row>
    <row r="28" spans="1:4" x14ac:dyDescent="0.25">
      <c r="A28" s="4" t="s">
        <v>40</v>
      </c>
      <c r="B28" s="4">
        <v>0.2</v>
      </c>
      <c r="C28" s="8">
        <v>0.29411764705882298</v>
      </c>
      <c r="D28" s="4">
        <f t="shared" si="0"/>
        <v>5.8823529411764603E-4</v>
      </c>
    </row>
    <row r="29" spans="1:4" x14ac:dyDescent="0.25">
      <c r="A29" s="4" t="s">
        <v>61</v>
      </c>
      <c r="B29" s="13">
        <v>0.08</v>
      </c>
      <c r="C29" s="15">
        <v>9.9742599742599705</v>
      </c>
      <c r="D29" s="4">
        <f t="shared" si="0"/>
        <v>7.9794079794079757E-3</v>
      </c>
    </row>
    <row r="30" spans="1:4" x14ac:dyDescent="0.25">
      <c r="A30" s="4" t="s">
        <v>59</v>
      </c>
      <c r="B30" s="4">
        <v>0.01</v>
      </c>
      <c r="C30" s="8">
        <v>1.1157601115760101</v>
      </c>
      <c r="D30" s="4">
        <f t="shared" si="0"/>
        <v>1.1157601115760101E-4</v>
      </c>
    </row>
    <row r="31" spans="1:4" x14ac:dyDescent="0.25">
      <c r="A31" s="4" t="s">
        <v>41</v>
      </c>
      <c r="B31" s="4">
        <v>7.99</v>
      </c>
      <c r="C31" s="4">
        <v>-0.89</v>
      </c>
      <c r="D31" s="4">
        <f t="shared" si="0"/>
        <v>-7.1111000000000008E-2</v>
      </c>
    </row>
    <row r="32" spans="1:4" x14ac:dyDescent="0.25">
      <c r="A32" s="4" t="s">
        <v>42</v>
      </c>
      <c r="B32" s="4">
        <v>7.7</v>
      </c>
      <c r="C32" s="4">
        <v>0.15</v>
      </c>
      <c r="D32" s="4">
        <f t="shared" si="0"/>
        <v>1.155E-2</v>
      </c>
    </row>
    <row r="33" spans="1:5" x14ac:dyDescent="0.25">
      <c r="A33" s="4" t="s">
        <v>56</v>
      </c>
      <c r="B33" s="4">
        <v>2.5</v>
      </c>
      <c r="C33" s="4">
        <v>0.38</v>
      </c>
      <c r="D33" s="4">
        <f t="shared" si="0"/>
        <v>9.4999999999999998E-3</v>
      </c>
    </row>
    <row r="34" spans="1:5" x14ac:dyDescent="0.25">
      <c r="A34" s="4" t="s">
        <v>64</v>
      </c>
      <c r="B34" s="4">
        <v>0.78</v>
      </c>
      <c r="C34" s="4">
        <v>0.39</v>
      </c>
      <c r="D34" s="4">
        <f t="shared" si="0"/>
        <v>3.0420000000000004E-3</v>
      </c>
    </row>
    <row r="35" spans="1:5" x14ac:dyDescent="0.25">
      <c r="A35" s="4" t="s">
        <v>65</v>
      </c>
      <c r="B35" s="4">
        <v>0.57999999999999996</v>
      </c>
      <c r="C35" s="4">
        <v>6.58</v>
      </c>
      <c r="D35" s="4">
        <f t="shared" si="0"/>
        <v>3.8163999999999997E-2</v>
      </c>
    </row>
    <row r="36" spans="1:5" x14ac:dyDescent="0.25">
      <c r="A36" s="4" t="s">
        <v>66</v>
      </c>
      <c r="B36" s="4">
        <v>0.06</v>
      </c>
      <c r="C36" s="4">
        <v>0.04</v>
      </c>
      <c r="D36" s="4">
        <f t="shared" si="0"/>
        <v>2.3999999999999997E-5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-0.41914202628512065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9"/>
      <c r="B44" s="29"/>
      <c r="C44" s="4"/>
      <c r="D44" s="4"/>
      <c r="E44" s="17"/>
    </row>
    <row r="45" spans="1:5" x14ac:dyDescent="0.25">
      <c r="A45" s="29"/>
      <c r="B45" s="29"/>
      <c r="C45" s="9"/>
      <c r="D45" s="9"/>
    </row>
    <row r="53" spans="1:6" x14ac:dyDescent="0.25">
      <c r="A53" s="5" t="s">
        <v>68</v>
      </c>
      <c r="B53" s="30" t="s">
        <v>52</v>
      </c>
      <c r="C53" s="30"/>
      <c r="D53" s="20" t="s">
        <v>53</v>
      </c>
      <c r="E53" s="5" t="s">
        <v>67</v>
      </c>
      <c r="F53" s="5" t="s">
        <v>69</v>
      </c>
    </row>
    <row r="54" spans="1:6" x14ac:dyDescent="0.25">
      <c r="A54" s="18">
        <v>46226</v>
      </c>
      <c r="B54" s="29">
        <v>78223</v>
      </c>
      <c r="C54" s="29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9">
        <v>78055</v>
      </c>
      <c r="C55" s="29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9">
        <v>78840</v>
      </c>
      <c r="C56" s="29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9">
        <v>79795</v>
      </c>
      <c r="C57" s="29"/>
      <c r="D57" s="21">
        <v>39293398935</v>
      </c>
      <c r="E57" s="22">
        <v>119712414</v>
      </c>
      <c r="F57" s="24">
        <v>5.9999999999999995E-4</v>
      </c>
    </row>
    <row r="58" spans="1:6" x14ac:dyDescent="0.25">
      <c r="A58" s="23">
        <v>46232</v>
      </c>
      <c r="B58" s="29">
        <v>80830</v>
      </c>
      <c r="C58" s="29"/>
      <c r="D58" s="21">
        <v>38188651284</v>
      </c>
      <c r="E58" s="21">
        <v>-933851594</v>
      </c>
      <c r="F58" s="24">
        <v>-4.3E-3</v>
      </c>
    </row>
    <row r="59" spans="1:6" x14ac:dyDescent="0.25">
      <c r="A59" s="18">
        <v>46233</v>
      </c>
      <c r="B59" s="29">
        <v>80272</v>
      </c>
      <c r="C59" s="29"/>
      <c r="D59" s="21">
        <v>36982629736</v>
      </c>
      <c r="E59" s="21">
        <v>-1972729322</v>
      </c>
      <c r="F59" s="24">
        <v>-1.4E-2</v>
      </c>
    </row>
    <row r="60" spans="1:6" x14ac:dyDescent="0.25">
      <c r="A60" s="18">
        <v>46234</v>
      </c>
      <c r="B60" s="29">
        <v>79803</v>
      </c>
      <c r="C60" s="29"/>
      <c r="D60" s="21">
        <v>33560330080</v>
      </c>
      <c r="E60" s="21">
        <v>-3201067093</v>
      </c>
      <c r="F60" s="24">
        <v>-6.0000000000000001E-3</v>
      </c>
    </row>
    <row r="61" spans="1:6" x14ac:dyDescent="0.25">
      <c r="A61" s="18">
        <v>46237</v>
      </c>
      <c r="B61" s="29">
        <v>77044</v>
      </c>
      <c r="C61" s="29"/>
      <c r="D61" s="21">
        <v>29529617301</v>
      </c>
      <c r="E61" s="21">
        <v>-4237217388</v>
      </c>
      <c r="F61" s="24">
        <v>6.1999999999999998E-3</v>
      </c>
    </row>
    <row r="62" spans="1:6" x14ac:dyDescent="0.25">
      <c r="A62" s="18">
        <v>46238</v>
      </c>
      <c r="B62" s="29">
        <v>72101</v>
      </c>
      <c r="C62" s="29"/>
      <c r="D62" s="21">
        <v>26219512523</v>
      </c>
      <c r="E62" s="21">
        <v>-3580010999</v>
      </c>
      <c r="F62" s="24">
        <v>9.1000000000000004E-3</v>
      </c>
    </row>
    <row r="63" spans="1:6" x14ac:dyDescent="0.25">
      <c r="A63" s="18"/>
      <c r="B63" s="29"/>
      <c r="C63" s="29"/>
      <c r="D63" s="21"/>
      <c r="E63" s="22"/>
      <c r="F63" s="24"/>
    </row>
    <row r="64" spans="1:6" x14ac:dyDescent="0.25">
      <c r="A64" s="18"/>
      <c r="B64" s="29"/>
      <c r="C64" s="29"/>
      <c r="D64" s="21"/>
      <c r="E64" s="22"/>
      <c r="F64" s="24"/>
    </row>
    <row r="65" spans="1:6" x14ac:dyDescent="0.25">
      <c r="A65" s="18"/>
      <c r="B65" s="29"/>
      <c r="C65" s="29"/>
      <c r="D65" s="21"/>
      <c r="E65" s="22"/>
      <c r="F65" s="24"/>
    </row>
    <row r="66" spans="1:6" x14ac:dyDescent="0.25">
      <c r="A66" s="18"/>
      <c r="B66" s="29"/>
      <c r="C66" s="29"/>
      <c r="D66" s="21"/>
      <c r="E66" s="22"/>
      <c r="F66" s="24"/>
    </row>
    <row r="67" spans="1:6" x14ac:dyDescent="0.25">
      <c r="A67" s="18"/>
      <c r="B67" s="29"/>
      <c r="C67" s="29"/>
      <c r="D67" s="21"/>
      <c r="E67" s="22"/>
      <c r="F67" s="24"/>
    </row>
    <row r="68" spans="1:6" x14ac:dyDescent="0.25">
      <c r="A68" s="18"/>
      <c r="B68" s="29"/>
      <c r="C68" s="29"/>
      <c r="D68" s="21"/>
      <c r="E68" s="22"/>
      <c r="F68" s="24"/>
    </row>
    <row r="69" spans="1:6" x14ac:dyDescent="0.25">
      <c r="A69" s="18"/>
      <c r="B69" s="29"/>
      <c r="C69" s="29"/>
      <c r="D69" s="21"/>
      <c r="E69" s="22"/>
      <c r="F69" s="24"/>
    </row>
    <row r="70" spans="1:6" x14ac:dyDescent="0.25">
      <c r="A70" s="18"/>
      <c r="B70" s="29"/>
      <c r="C70" s="29"/>
      <c r="D70" s="21"/>
      <c r="E70" s="22"/>
      <c r="F70" s="24"/>
    </row>
    <row r="71" spans="1:6" x14ac:dyDescent="0.25">
      <c r="A71" s="18"/>
      <c r="B71" s="29"/>
      <c r="C71" s="29"/>
      <c r="D71" s="21"/>
      <c r="E71" s="22"/>
      <c r="F71" s="24"/>
    </row>
    <row r="72" spans="1:6" x14ac:dyDescent="0.25">
      <c r="A72" s="18"/>
      <c r="B72" s="29"/>
      <c r="C72" s="29"/>
      <c r="D72" s="21"/>
      <c r="E72" s="22"/>
      <c r="F72" s="24"/>
    </row>
    <row r="73" spans="1:6" x14ac:dyDescent="0.25">
      <c r="A73" s="18"/>
      <c r="B73" s="29"/>
      <c r="C73" s="29"/>
      <c r="D73" s="21"/>
      <c r="E73" s="22"/>
      <c r="F73" s="24"/>
    </row>
    <row r="74" spans="1:6" x14ac:dyDescent="0.25">
      <c r="A74" s="18"/>
      <c r="B74" s="29"/>
      <c r="C74" s="29"/>
      <c r="D74" s="21"/>
      <c r="E74" s="22"/>
      <c r="F74" s="24"/>
    </row>
    <row r="75" spans="1:6" x14ac:dyDescent="0.25">
      <c r="A75" s="18"/>
      <c r="B75" s="29"/>
      <c r="C75" s="29"/>
      <c r="D75" s="21"/>
      <c r="E75" s="22"/>
      <c r="F75" s="24"/>
    </row>
    <row r="76" spans="1:6" x14ac:dyDescent="0.25">
      <c r="A76" s="18"/>
      <c r="B76" s="29"/>
      <c r="C76" s="29"/>
      <c r="D76" s="21"/>
      <c r="E76" s="22"/>
      <c r="F76" s="24"/>
    </row>
    <row r="77" spans="1:6" x14ac:dyDescent="0.25">
      <c r="A77" s="18"/>
      <c r="B77" s="29"/>
      <c r="C77" s="29"/>
      <c r="D77" s="21"/>
      <c r="E77" s="22"/>
      <c r="F77" s="24"/>
    </row>
    <row r="78" spans="1:6" x14ac:dyDescent="0.25">
      <c r="A78" s="18"/>
      <c r="B78" s="29"/>
      <c r="C78" s="29"/>
      <c r="D78" s="21"/>
      <c r="E78" s="22"/>
      <c r="F78" s="24"/>
    </row>
    <row r="79" spans="1:6" x14ac:dyDescent="0.25">
      <c r="A79" s="18"/>
      <c r="B79" s="29"/>
      <c r="C79" s="29"/>
      <c r="D79" s="21"/>
      <c r="E79" s="22"/>
      <c r="F79" s="24"/>
    </row>
    <row r="80" spans="1:6" x14ac:dyDescent="0.25">
      <c r="A80" s="18"/>
      <c r="B80" s="29"/>
      <c r="C80" s="29"/>
      <c r="D80" s="21"/>
      <c r="E80" s="22"/>
      <c r="F80" s="24"/>
    </row>
    <row r="81" spans="1:6" x14ac:dyDescent="0.25">
      <c r="A81" s="18"/>
      <c r="B81" s="29"/>
      <c r="C81" s="29"/>
      <c r="D81" s="21"/>
      <c r="E81" s="22"/>
      <c r="F81" s="24"/>
    </row>
    <row r="82" spans="1:6" x14ac:dyDescent="0.25">
      <c r="A82" s="18"/>
      <c r="B82" s="29"/>
      <c r="C82" s="29"/>
      <c r="D82" s="21"/>
      <c r="E82" s="22"/>
      <c r="F82" s="24"/>
    </row>
    <row r="83" spans="1:6" x14ac:dyDescent="0.25">
      <c r="A83" s="18"/>
      <c r="B83" s="29"/>
      <c r="C83" s="29"/>
      <c r="D83" s="21"/>
      <c r="E83" s="22"/>
      <c r="F83" s="24"/>
    </row>
    <row r="84" spans="1:6" x14ac:dyDescent="0.25">
      <c r="A84" s="18"/>
      <c r="B84" s="29"/>
      <c r="C84" s="29"/>
      <c r="D84" s="21"/>
      <c r="E84" s="22"/>
      <c r="F84" s="24"/>
    </row>
    <row r="85" spans="1:6" x14ac:dyDescent="0.25">
      <c r="A85" s="18"/>
      <c r="B85" s="29"/>
      <c r="C85" s="29"/>
      <c r="D85" s="21"/>
      <c r="E85" s="22"/>
      <c r="F85" s="24"/>
    </row>
    <row r="86" spans="1:6" x14ac:dyDescent="0.25">
      <c r="A86" s="18"/>
      <c r="B86" s="29"/>
      <c r="C86" s="29"/>
      <c r="D86" s="21"/>
      <c r="E86" s="22"/>
      <c r="F86" s="24"/>
    </row>
    <row r="87" spans="1:6" x14ac:dyDescent="0.25">
      <c r="A87" s="18"/>
      <c r="B87" s="29"/>
      <c r="C87" s="29"/>
      <c r="D87" s="21"/>
      <c r="E87" s="22"/>
      <c r="F87" s="24"/>
    </row>
    <row r="88" spans="1:6" x14ac:dyDescent="0.25">
      <c r="A88" s="18"/>
      <c r="B88" s="29"/>
      <c r="C88" s="29"/>
      <c r="D88" s="21"/>
      <c r="E88" s="22"/>
      <c r="F88" s="24"/>
    </row>
    <row r="89" spans="1:6" x14ac:dyDescent="0.25">
      <c r="A89" s="18"/>
      <c r="B89" s="29"/>
      <c r="C89" s="29"/>
      <c r="D89" s="21"/>
      <c r="E89" s="22"/>
      <c r="F89" s="24"/>
    </row>
    <row r="90" spans="1:6" x14ac:dyDescent="0.25">
      <c r="A90" s="18"/>
      <c r="B90" s="29"/>
      <c r="C90" s="29"/>
      <c r="D90" s="21"/>
      <c r="E90" s="22"/>
      <c r="F90" s="24"/>
    </row>
    <row r="91" spans="1:6" x14ac:dyDescent="0.25">
      <c r="A91" s="18"/>
      <c r="B91" s="29"/>
      <c r="C91" s="29"/>
      <c r="D91" s="21"/>
      <c r="E91" s="22"/>
      <c r="F91" s="24"/>
    </row>
    <row r="92" spans="1:6" x14ac:dyDescent="0.25">
      <c r="A92" s="18"/>
      <c r="B92" s="29"/>
      <c r="C92" s="29"/>
      <c r="D92" s="21"/>
      <c r="E92" s="22"/>
      <c r="F92" s="24"/>
    </row>
    <row r="93" spans="1:6" x14ac:dyDescent="0.25">
      <c r="A93" s="18"/>
      <c r="B93" s="29"/>
      <c r="C93" s="29"/>
      <c r="D93" s="21"/>
      <c r="E93" s="22"/>
      <c r="F93" s="24"/>
    </row>
    <row r="94" spans="1:6" x14ac:dyDescent="0.25">
      <c r="A94" s="18"/>
      <c r="B94" s="29"/>
      <c r="C94" s="29"/>
      <c r="D94" s="21"/>
      <c r="E94" s="22"/>
      <c r="F94" s="24"/>
    </row>
    <row r="95" spans="1:6" x14ac:dyDescent="0.25">
      <c r="A95" s="18"/>
      <c r="B95" s="29"/>
      <c r="C95" s="29"/>
      <c r="D95" s="21"/>
      <c r="E95" s="22"/>
      <c r="F95" s="24"/>
    </row>
    <row r="96" spans="1:6" x14ac:dyDescent="0.25">
      <c r="A96" s="18"/>
      <c r="B96" s="29"/>
      <c r="C96" s="29"/>
      <c r="D96" s="21"/>
      <c r="E96" s="22"/>
      <c r="F96" s="24"/>
    </row>
    <row r="97" spans="1:6" x14ac:dyDescent="0.25">
      <c r="A97" s="18"/>
      <c r="B97" s="29"/>
      <c r="C97" s="29"/>
      <c r="D97" s="21"/>
      <c r="E97" s="22"/>
      <c r="F97" s="24"/>
    </row>
    <row r="98" spans="1:6" x14ac:dyDescent="0.25">
      <c r="A98" s="18"/>
      <c r="B98" s="29"/>
      <c r="C98" s="29"/>
      <c r="D98" s="21"/>
      <c r="E98" s="22"/>
      <c r="F98" s="24"/>
    </row>
    <row r="99" spans="1:6" x14ac:dyDescent="0.25">
      <c r="A99" s="18"/>
      <c r="B99" s="29"/>
      <c r="C99" s="29"/>
      <c r="D99" s="21"/>
      <c r="E99" s="22"/>
      <c r="F99" s="24"/>
    </row>
    <row r="100" spans="1:6" x14ac:dyDescent="0.25">
      <c r="A100" s="18"/>
      <c r="B100" s="29"/>
      <c r="C100" s="29"/>
      <c r="D100" s="21"/>
      <c r="E100" s="22"/>
      <c r="F100" s="24"/>
    </row>
    <row r="101" spans="1:6" x14ac:dyDescent="0.25">
      <c r="A101" s="18"/>
      <c r="B101" s="29"/>
      <c r="C101" s="29"/>
      <c r="D101" s="21"/>
      <c r="E101" s="22"/>
      <c r="F101" s="24"/>
    </row>
    <row r="102" spans="1:6" x14ac:dyDescent="0.25">
      <c r="A102" s="18"/>
      <c r="B102" s="29"/>
      <c r="C102" s="29"/>
      <c r="D102" s="21"/>
      <c r="E102" s="22"/>
      <c r="F102" s="24"/>
    </row>
    <row r="103" spans="1:6" x14ac:dyDescent="0.25">
      <c r="A103" s="18"/>
      <c r="B103" s="29"/>
      <c r="C103" s="29"/>
      <c r="D103" s="21"/>
      <c r="E103" s="22"/>
      <c r="F103" s="24"/>
    </row>
    <row r="104" spans="1:6" x14ac:dyDescent="0.25">
      <c r="A104" s="18"/>
      <c r="B104" s="29"/>
      <c r="C104" s="29"/>
      <c r="D104" s="21"/>
      <c r="E104" s="22"/>
      <c r="F104" s="24"/>
    </row>
    <row r="105" spans="1:6" x14ac:dyDescent="0.25">
      <c r="A105" s="18"/>
      <c r="B105" s="29"/>
      <c r="C105" s="29"/>
      <c r="D105" s="21"/>
      <c r="E105" s="22"/>
      <c r="F105" s="24"/>
    </row>
    <row r="106" spans="1:6" x14ac:dyDescent="0.25">
      <c r="A106" s="18"/>
      <c r="B106" s="29"/>
      <c r="C106" s="29"/>
      <c r="D106" s="21"/>
      <c r="E106" s="22"/>
      <c r="F106" s="24"/>
    </row>
    <row r="107" spans="1:6" x14ac:dyDescent="0.25">
      <c r="A107" s="18"/>
      <c r="B107" s="29"/>
      <c r="C107" s="29"/>
      <c r="D107" s="21"/>
      <c r="E107" s="22"/>
      <c r="F107" s="24"/>
    </row>
    <row r="108" spans="1:6" x14ac:dyDescent="0.25">
      <c r="A108" s="18"/>
      <c r="B108" s="29"/>
      <c r="C108" s="29"/>
      <c r="D108" s="21"/>
      <c r="E108" s="22"/>
      <c r="F108" s="24"/>
    </row>
    <row r="109" spans="1:6" x14ac:dyDescent="0.25">
      <c r="A109" s="18"/>
      <c r="B109" s="29"/>
      <c r="C109" s="29"/>
      <c r="D109" s="21"/>
      <c r="E109" s="22"/>
      <c r="F109" s="24"/>
    </row>
    <row r="110" spans="1:6" x14ac:dyDescent="0.25">
      <c r="A110" s="18"/>
      <c r="B110" s="29"/>
      <c r="C110" s="29"/>
      <c r="D110" s="21"/>
      <c r="E110" s="22"/>
      <c r="F110" s="24"/>
    </row>
    <row r="111" spans="1:6" x14ac:dyDescent="0.25">
      <c r="A111" s="18"/>
      <c r="B111" s="29"/>
      <c r="C111" s="29"/>
      <c r="D111" s="21"/>
      <c r="E111" s="22"/>
      <c r="F111" s="24"/>
    </row>
    <row r="112" spans="1:6" x14ac:dyDescent="0.25">
      <c r="A112" s="18"/>
      <c r="B112" s="29"/>
      <c r="C112" s="29"/>
      <c r="D112" s="21"/>
      <c r="E112" s="22"/>
      <c r="F112" s="24"/>
    </row>
    <row r="113" spans="1:6" x14ac:dyDescent="0.25">
      <c r="A113" s="18"/>
      <c r="B113" s="29"/>
      <c r="C113" s="29"/>
      <c r="D113" s="21"/>
      <c r="E113" s="22"/>
      <c r="F113" s="24"/>
    </row>
    <row r="114" spans="1:6" x14ac:dyDescent="0.25">
      <c r="A114" s="18"/>
      <c r="B114" s="29"/>
      <c r="C114" s="29"/>
      <c r="D114" s="21"/>
      <c r="E114" s="22"/>
      <c r="F114" s="24"/>
    </row>
    <row r="115" spans="1:6" x14ac:dyDescent="0.25">
      <c r="A115" s="18"/>
      <c r="B115" s="29"/>
      <c r="C115" s="29"/>
      <c r="D115" s="21"/>
      <c r="E115" s="22"/>
      <c r="F115" s="24"/>
    </row>
    <row r="116" spans="1:6" x14ac:dyDescent="0.25">
      <c r="A116" s="18"/>
      <c r="B116" s="29"/>
      <c r="C116" s="29"/>
      <c r="D116" s="21"/>
      <c r="E116" s="22"/>
      <c r="F116" s="24"/>
    </row>
    <row r="117" spans="1:6" x14ac:dyDescent="0.25">
      <c r="A117" s="18"/>
      <c r="B117" s="29"/>
      <c r="C117" s="29"/>
      <c r="D117" s="21"/>
      <c r="E117" s="22"/>
      <c r="F117" s="24"/>
    </row>
    <row r="118" spans="1:6" x14ac:dyDescent="0.25">
      <c r="A118" s="18"/>
      <c r="B118" s="29"/>
      <c r="C118" s="29"/>
      <c r="D118" s="21"/>
      <c r="E118" s="22"/>
      <c r="F118" s="24"/>
    </row>
    <row r="119" spans="1:6" x14ac:dyDescent="0.25">
      <c r="A119" s="18"/>
      <c r="B119" s="29"/>
      <c r="C119" s="29"/>
      <c r="D119" s="21"/>
      <c r="E119" s="22"/>
      <c r="F119" s="24"/>
    </row>
    <row r="120" spans="1:6" x14ac:dyDescent="0.25">
      <c r="A120" s="18"/>
      <c r="B120" s="29"/>
      <c r="C120" s="29"/>
      <c r="D120" s="21"/>
      <c r="E120" s="22"/>
      <c r="F120" s="24"/>
    </row>
    <row r="121" spans="1:6" x14ac:dyDescent="0.25">
      <c r="A121" s="18"/>
      <c r="B121" s="29"/>
      <c r="C121" s="29"/>
      <c r="D121" s="21"/>
      <c r="E121" s="22"/>
      <c r="F121" s="24"/>
    </row>
    <row r="122" spans="1:6" x14ac:dyDescent="0.25">
      <c r="A122" s="18"/>
      <c r="B122" s="29"/>
      <c r="C122" s="29"/>
      <c r="D122" s="21"/>
      <c r="E122" s="22"/>
      <c r="F122" s="24"/>
    </row>
    <row r="123" spans="1:6" x14ac:dyDescent="0.25">
      <c r="A123" s="18"/>
      <c r="B123" s="29"/>
      <c r="C123" s="29"/>
      <c r="D123" s="21"/>
      <c r="E123" s="22"/>
      <c r="F123" s="24"/>
    </row>
    <row r="124" spans="1:6" x14ac:dyDescent="0.25">
      <c r="A124" s="18"/>
      <c r="B124" s="29"/>
      <c r="C124" s="29"/>
      <c r="D124" s="21"/>
      <c r="E124" s="22"/>
      <c r="F124" s="24"/>
    </row>
    <row r="125" spans="1:6" x14ac:dyDescent="0.25">
      <c r="A125" s="18"/>
      <c r="B125" s="29"/>
      <c r="C125" s="29"/>
      <c r="D125" s="21"/>
      <c r="E125" s="22"/>
      <c r="F125" s="24"/>
    </row>
    <row r="126" spans="1:6" x14ac:dyDescent="0.25">
      <c r="A126" s="18"/>
      <c r="B126" s="29"/>
      <c r="C126" s="29"/>
      <c r="D126" s="21"/>
      <c r="E126" s="22"/>
      <c r="F126" s="24"/>
    </row>
    <row r="127" spans="1:6" x14ac:dyDescent="0.25">
      <c r="A127" s="18"/>
      <c r="B127" s="29"/>
      <c r="C127" s="29"/>
      <c r="D127" s="21"/>
      <c r="E127" s="22"/>
      <c r="F127" s="24"/>
    </row>
    <row r="128" spans="1:6" x14ac:dyDescent="0.25">
      <c r="A128" s="18"/>
      <c r="B128" s="29"/>
      <c r="C128" s="29"/>
      <c r="D128" s="21"/>
      <c r="E128" s="22"/>
      <c r="F128" s="24"/>
    </row>
    <row r="129" spans="1:6" x14ac:dyDescent="0.25">
      <c r="A129" s="18"/>
      <c r="B129" s="29"/>
      <c r="C129" s="29"/>
      <c r="D129" s="21"/>
      <c r="E129" s="22"/>
      <c r="F129" s="24"/>
    </row>
    <row r="130" spans="1:6" x14ac:dyDescent="0.25">
      <c r="A130" s="18"/>
      <c r="B130" s="29"/>
      <c r="C130" s="29"/>
      <c r="D130" s="21"/>
      <c r="E130" s="22"/>
      <c r="F130" s="24"/>
    </row>
    <row r="131" spans="1:6" x14ac:dyDescent="0.25">
      <c r="A131" s="18"/>
      <c r="B131" s="29"/>
      <c r="C131" s="29"/>
      <c r="D131" s="21"/>
      <c r="E131" s="22"/>
      <c r="F131" s="24"/>
    </row>
    <row r="132" spans="1:6" x14ac:dyDescent="0.25">
      <c r="A132" s="18"/>
      <c r="B132" s="29"/>
      <c r="C132" s="29"/>
      <c r="D132" s="21"/>
      <c r="E132" s="22"/>
      <c r="F132" s="24"/>
    </row>
    <row r="133" spans="1:6" x14ac:dyDescent="0.25">
      <c r="A133" s="18"/>
      <c r="B133" s="29"/>
      <c r="C133" s="29"/>
      <c r="D133" s="21"/>
      <c r="E133" s="22"/>
      <c r="F133" s="24"/>
    </row>
    <row r="134" spans="1:6" x14ac:dyDescent="0.25">
      <c r="A134" s="18"/>
      <c r="B134" s="29"/>
      <c r="C134" s="29"/>
      <c r="D134" s="21"/>
      <c r="E134" s="22"/>
      <c r="F134" s="24"/>
    </row>
    <row r="135" spans="1:6" x14ac:dyDescent="0.25">
      <c r="A135" s="18"/>
      <c r="B135" s="29"/>
      <c r="C135" s="29"/>
      <c r="D135" s="21"/>
      <c r="E135" s="22"/>
      <c r="F135" s="24"/>
    </row>
    <row r="136" spans="1:6" x14ac:dyDescent="0.25">
      <c r="A136" s="18"/>
      <c r="B136" s="29"/>
      <c r="C136" s="29"/>
      <c r="D136" s="21"/>
      <c r="E136" s="22"/>
      <c r="F136" s="24"/>
    </row>
    <row r="137" spans="1:6" x14ac:dyDescent="0.25">
      <c r="A137" s="18"/>
      <c r="B137" s="29"/>
      <c r="C137" s="29"/>
      <c r="D137" s="21"/>
      <c r="E137" s="22"/>
      <c r="F137" s="24"/>
    </row>
    <row r="138" spans="1:6" x14ac:dyDescent="0.25">
      <c r="A138" s="18"/>
      <c r="B138" s="29"/>
      <c r="C138" s="29"/>
      <c r="D138" s="21"/>
      <c r="E138" s="22"/>
      <c r="F138" s="24"/>
    </row>
    <row r="139" spans="1:6" x14ac:dyDescent="0.25">
      <c r="A139" s="18"/>
      <c r="B139" s="29"/>
      <c r="C139" s="29"/>
      <c r="D139" s="21"/>
      <c r="E139" s="22"/>
      <c r="F139" s="24"/>
    </row>
    <row r="140" spans="1:6" x14ac:dyDescent="0.25">
      <c r="A140" s="18"/>
      <c r="B140" s="29"/>
      <c r="C140" s="29"/>
      <c r="D140" s="21"/>
      <c r="E140" s="22"/>
      <c r="F140" s="24"/>
    </row>
    <row r="141" spans="1:6" x14ac:dyDescent="0.25">
      <c r="A141" s="18"/>
      <c r="B141" s="29"/>
      <c r="C141" s="29"/>
      <c r="D141" s="21"/>
      <c r="E141" s="22"/>
      <c r="F141" s="24"/>
    </row>
    <row r="142" spans="1:6" x14ac:dyDescent="0.25">
      <c r="A142" s="18"/>
      <c r="B142" s="29"/>
      <c r="C142" s="29"/>
      <c r="D142" s="21"/>
      <c r="E142" s="22"/>
      <c r="F142" s="24"/>
    </row>
    <row r="143" spans="1:6" x14ac:dyDescent="0.25">
      <c r="A143" s="18"/>
      <c r="B143" s="29"/>
      <c r="C143" s="29"/>
      <c r="D143" s="21"/>
      <c r="E143" s="22"/>
      <c r="F143" s="24"/>
    </row>
    <row r="144" spans="1:6" x14ac:dyDescent="0.25">
      <c r="A144" s="18"/>
      <c r="B144" s="29"/>
      <c r="C144" s="29"/>
      <c r="D144" s="21"/>
      <c r="E144" s="22"/>
      <c r="F144" s="24"/>
    </row>
    <row r="145" spans="1:6" x14ac:dyDescent="0.25">
      <c r="A145" s="18"/>
      <c r="B145" s="29"/>
      <c r="C145" s="29"/>
      <c r="D145" s="21"/>
      <c r="E145" s="22"/>
      <c r="F145" s="24"/>
    </row>
    <row r="146" spans="1:6" x14ac:dyDescent="0.25">
      <c r="A146" s="18"/>
      <c r="B146" s="29"/>
      <c r="C146" s="29"/>
      <c r="D146" s="21"/>
      <c r="E146" s="22"/>
      <c r="F146" s="24"/>
    </row>
    <row r="147" spans="1:6" x14ac:dyDescent="0.25">
      <c r="A147" s="18"/>
      <c r="B147" s="29"/>
      <c r="C147" s="29"/>
      <c r="D147" s="21"/>
      <c r="E147" s="22"/>
      <c r="F147" s="24"/>
    </row>
    <row r="148" spans="1:6" x14ac:dyDescent="0.25">
      <c r="A148" s="18"/>
      <c r="B148" s="29"/>
      <c r="C148" s="29"/>
      <c r="D148" s="21"/>
      <c r="E148" s="22"/>
      <c r="F148" s="24"/>
    </row>
    <row r="149" spans="1:6" x14ac:dyDescent="0.25">
      <c r="A149" s="18"/>
      <c r="B149" s="29"/>
      <c r="C149" s="29"/>
      <c r="D149" s="21"/>
      <c r="E149" s="22"/>
      <c r="F149" s="24"/>
    </row>
    <row r="150" spans="1:6" x14ac:dyDescent="0.25">
      <c r="A150" s="18"/>
      <c r="B150" s="29"/>
      <c r="C150" s="29"/>
      <c r="D150" s="21"/>
      <c r="E150" s="22"/>
      <c r="F150" s="24"/>
    </row>
    <row r="151" spans="1:6" x14ac:dyDescent="0.25">
      <c r="A151" s="18"/>
      <c r="B151" s="29"/>
      <c r="C151" s="29"/>
      <c r="D151" s="21"/>
      <c r="E151" s="22"/>
      <c r="F151" s="24"/>
    </row>
    <row r="152" spans="1:6" x14ac:dyDescent="0.25">
      <c r="A152" s="18"/>
      <c r="B152" s="29"/>
      <c r="C152" s="29"/>
      <c r="D152" s="21"/>
      <c r="E152" s="22"/>
      <c r="F152" s="24"/>
    </row>
    <row r="153" spans="1:6" x14ac:dyDescent="0.25">
      <c r="A153" s="18"/>
      <c r="B153" s="29"/>
      <c r="C153" s="29"/>
      <c r="D153" s="21"/>
      <c r="E153" s="22"/>
      <c r="F153" s="24"/>
    </row>
    <row r="154" spans="1:6" x14ac:dyDescent="0.25">
      <c r="A154" s="18"/>
      <c r="B154" s="29"/>
      <c r="C154" s="29"/>
      <c r="D154" s="21"/>
      <c r="E154" s="22"/>
      <c r="F154" s="24"/>
    </row>
  </sheetData>
  <mergeCells count="104"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G45" sqref="G45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1.1940298507462599</v>
      </c>
      <c r="D2" s="4">
        <f>B2*C2/100</f>
        <v>0.62985074626865201</v>
      </c>
    </row>
    <row r="3" spans="1:5" x14ac:dyDescent="0.25">
      <c r="A3" s="4" t="s">
        <v>45</v>
      </c>
      <c r="B3" s="4">
        <v>11.12</v>
      </c>
      <c r="C3" s="8">
        <v>-4.1457286432160796</v>
      </c>
      <c r="D3" s="4">
        <f t="shared" ref="D3:D5" si="0">B3*C3/100</f>
        <v>-0.46100502512562808</v>
      </c>
    </row>
    <row r="4" spans="1:5" x14ac:dyDescent="0.25">
      <c r="A4" s="4" t="s">
        <v>46</v>
      </c>
      <c r="B4" s="4">
        <v>0.53</v>
      </c>
      <c r="C4" s="8">
        <v>-9.9126861838726192</v>
      </c>
      <c r="D4" s="4">
        <f t="shared" si="0"/>
        <v>-5.253723677452489E-2</v>
      </c>
    </row>
    <row r="5" spans="1:5" x14ac:dyDescent="0.25">
      <c r="A5" s="4" t="s">
        <v>47</v>
      </c>
      <c r="B5" s="4">
        <v>29.82</v>
      </c>
      <c r="C5" s="4">
        <v>1.48</v>
      </c>
      <c r="D5" s="4">
        <f t="shared" si="0"/>
        <v>0.44133600000000001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0.557644484368499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9"/>
      <c r="B10" s="29"/>
      <c r="C10" s="4"/>
      <c r="D10" s="4"/>
      <c r="E10" s="17"/>
    </row>
    <row r="11" spans="1:5" x14ac:dyDescent="0.25">
      <c r="A11" s="29"/>
      <c r="B11" s="29"/>
      <c r="C11" s="10"/>
      <c r="D11" s="10"/>
    </row>
    <row r="31" spans="1:6" x14ac:dyDescent="0.25">
      <c r="A31" s="5" t="s">
        <v>68</v>
      </c>
      <c r="B31" s="30" t="s">
        <v>52</v>
      </c>
      <c r="C31" s="30"/>
      <c r="D31" s="20" t="s">
        <v>53</v>
      </c>
      <c r="E31" s="5" t="s">
        <v>67</v>
      </c>
      <c r="F31" s="5" t="s">
        <v>69</v>
      </c>
    </row>
    <row r="32" spans="1:6" x14ac:dyDescent="0.25">
      <c r="A32" s="23">
        <v>46226</v>
      </c>
      <c r="B32" s="29">
        <v>48221</v>
      </c>
      <c r="C32" s="29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9">
        <v>48802</v>
      </c>
      <c r="C33" s="29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9">
        <v>49403</v>
      </c>
      <c r="C34" s="29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9">
        <v>49817</v>
      </c>
      <c r="C35" s="29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9">
        <v>50631</v>
      </c>
      <c r="C36" s="29"/>
      <c r="D36" s="21">
        <v>32047144824</v>
      </c>
      <c r="E36" s="21">
        <v>1031302629</v>
      </c>
      <c r="F36" s="24">
        <v>1E-3</v>
      </c>
    </row>
    <row r="37" spans="1:6" x14ac:dyDescent="0.25">
      <c r="A37" s="23">
        <v>46233</v>
      </c>
      <c r="B37" s="29">
        <v>50968</v>
      </c>
      <c r="C37" s="29"/>
      <c r="D37" s="21">
        <v>32438714789</v>
      </c>
      <c r="E37" s="21">
        <v>329409310</v>
      </c>
      <c r="F37" s="24">
        <v>1.9E-3</v>
      </c>
    </row>
    <row r="38" spans="1:6" x14ac:dyDescent="0.25">
      <c r="A38" s="23">
        <v>46234</v>
      </c>
      <c r="B38" s="29">
        <v>51171</v>
      </c>
      <c r="C38" s="29"/>
      <c r="D38" s="21">
        <v>31996446996</v>
      </c>
      <c r="E38" s="21">
        <v>-281801311</v>
      </c>
      <c r="F38" s="24">
        <v>-4.8999999999999998E-3</v>
      </c>
    </row>
    <row r="39" spans="1:6" x14ac:dyDescent="0.25">
      <c r="A39" s="23">
        <v>46237</v>
      </c>
      <c r="B39" s="29">
        <v>51266</v>
      </c>
      <c r="C39" s="29"/>
      <c r="D39" s="21">
        <v>32456533228</v>
      </c>
      <c r="E39" s="21">
        <v>257679653</v>
      </c>
      <c r="F39" s="24">
        <v>6.3E-3</v>
      </c>
    </row>
    <row r="40" spans="1:6" x14ac:dyDescent="0.25">
      <c r="A40" s="23">
        <v>46238</v>
      </c>
      <c r="B40" s="29">
        <v>51083</v>
      </c>
      <c r="C40" s="29"/>
      <c r="D40" s="21">
        <v>31890486608</v>
      </c>
      <c r="E40" s="21">
        <v>-821515583</v>
      </c>
      <c r="F40" s="24">
        <v>7.9000000000000008E-3</v>
      </c>
    </row>
    <row r="41" spans="1:6" x14ac:dyDescent="0.25">
      <c r="A41" s="23"/>
      <c r="B41" s="29"/>
      <c r="C41" s="29"/>
      <c r="D41" s="21"/>
      <c r="E41" s="21"/>
      <c r="F41" s="24"/>
    </row>
    <row r="42" spans="1:6" x14ac:dyDescent="0.25">
      <c r="A42" s="23"/>
      <c r="B42" s="29"/>
      <c r="C42" s="29"/>
      <c r="D42" s="21"/>
      <c r="E42" s="21"/>
      <c r="F42" s="24"/>
    </row>
    <row r="43" spans="1:6" x14ac:dyDescent="0.25">
      <c r="A43" s="23"/>
      <c r="B43" s="29"/>
      <c r="C43" s="29"/>
      <c r="D43" s="21"/>
      <c r="E43" s="21"/>
      <c r="F43" s="24"/>
    </row>
    <row r="44" spans="1:6" x14ac:dyDescent="0.25">
      <c r="A44" s="23"/>
      <c r="B44" s="29"/>
      <c r="C44" s="29"/>
      <c r="D44" s="21"/>
      <c r="E44" s="21"/>
      <c r="F44" s="24"/>
    </row>
    <row r="45" spans="1:6" x14ac:dyDescent="0.25">
      <c r="A45" s="23"/>
      <c r="B45" s="29"/>
      <c r="C45" s="29"/>
      <c r="D45" s="21"/>
      <c r="E45" s="21"/>
      <c r="F45" s="24"/>
    </row>
    <row r="46" spans="1:6" x14ac:dyDescent="0.25">
      <c r="A46" s="23"/>
      <c r="B46" s="29"/>
      <c r="C46" s="29"/>
      <c r="D46" s="21"/>
      <c r="E46" s="21"/>
      <c r="F46" s="24"/>
    </row>
    <row r="47" spans="1:6" x14ac:dyDescent="0.25">
      <c r="A47" s="23"/>
      <c r="B47" s="29"/>
      <c r="C47" s="29"/>
      <c r="D47" s="21"/>
      <c r="E47" s="21"/>
      <c r="F47" s="24"/>
    </row>
    <row r="48" spans="1:6" x14ac:dyDescent="0.25">
      <c r="A48" s="23"/>
      <c r="B48" s="29"/>
      <c r="C48" s="29"/>
      <c r="D48" s="21"/>
      <c r="E48" s="21"/>
      <c r="F48" s="24"/>
    </row>
    <row r="49" spans="1:6" x14ac:dyDescent="0.25">
      <c r="A49" s="23"/>
      <c r="B49" s="29"/>
      <c r="C49" s="29"/>
      <c r="D49" s="21"/>
      <c r="E49" s="21"/>
      <c r="F49" s="24"/>
    </row>
    <row r="50" spans="1:6" x14ac:dyDescent="0.25">
      <c r="A50" s="23"/>
      <c r="B50" s="29"/>
      <c r="C50" s="29"/>
      <c r="D50" s="21"/>
      <c r="E50" s="21"/>
      <c r="F50" s="24"/>
    </row>
    <row r="51" spans="1:6" x14ac:dyDescent="0.25">
      <c r="A51" s="23"/>
      <c r="B51" s="29"/>
      <c r="C51" s="29"/>
      <c r="D51" s="21"/>
      <c r="E51" s="21"/>
      <c r="F51" s="24"/>
    </row>
    <row r="52" spans="1:6" x14ac:dyDescent="0.25">
      <c r="A52" s="23"/>
      <c r="B52" s="29"/>
      <c r="C52" s="29"/>
      <c r="D52" s="21"/>
      <c r="E52" s="21"/>
      <c r="F52" s="24"/>
    </row>
    <row r="53" spans="1:6" x14ac:dyDescent="0.25">
      <c r="A53" s="23"/>
      <c r="B53" s="29"/>
      <c r="C53" s="29"/>
      <c r="D53" s="21"/>
      <c r="E53" s="21"/>
      <c r="F53" s="24"/>
    </row>
    <row r="54" spans="1:6" x14ac:dyDescent="0.25">
      <c r="A54" s="23"/>
      <c r="B54" s="29"/>
      <c r="C54" s="29"/>
      <c r="D54" s="21"/>
      <c r="E54" s="21"/>
      <c r="F54" s="24"/>
    </row>
    <row r="55" spans="1:6" x14ac:dyDescent="0.25">
      <c r="A55" s="23"/>
      <c r="B55" s="29"/>
      <c r="C55" s="29"/>
      <c r="D55" s="21"/>
      <c r="E55" s="21"/>
      <c r="F55" s="24"/>
    </row>
    <row r="56" spans="1:6" x14ac:dyDescent="0.25">
      <c r="A56" s="23"/>
      <c r="B56" s="29"/>
      <c r="C56" s="29"/>
      <c r="D56" s="21"/>
      <c r="E56" s="21"/>
      <c r="F56" s="24"/>
    </row>
    <row r="57" spans="1:6" x14ac:dyDescent="0.25">
      <c r="A57" s="23"/>
      <c r="B57" s="29"/>
      <c r="C57" s="29"/>
      <c r="D57" s="21"/>
      <c r="E57" s="21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23"/>
      <c r="B59" s="29"/>
      <c r="C59" s="29"/>
      <c r="D59" s="21"/>
      <c r="E59" s="21"/>
      <c r="F59" s="24"/>
    </row>
    <row r="60" spans="1:6" x14ac:dyDescent="0.25">
      <c r="A60" s="23"/>
      <c r="B60" s="29"/>
      <c r="C60" s="29"/>
      <c r="D60" s="21"/>
      <c r="E60" s="21"/>
      <c r="F60" s="24"/>
    </row>
    <row r="61" spans="1:6" x14ac:dyDescent="0.25">
      <c r="A61" s="23"/>
      <c r="B61" s="29"/>
      <c r="C61" s="29"/>
      <c r="D61" s="21"/>
      <c r="E61" s="21"/>
      <c r="F61" s="24"/>
    </row>
    <row r="62" spans="1:6" x14ac:dyDescent="0.25">
      <c r="A62" s="23"/>
      <c r="B62" s="29"/>
      <c r="C62" s="29"/>
      <c r="D62" s="21"/>
      <c r="E62" s="21"/>
      <c r="F62" s="24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A76" s="23"/>
      <c r="B76" s="29"/>
      <c r="C76" s="29"/>
      <c r="D76" s="21"/>
      <c r="E76" s="21"/>
      <c r="F76" s="24"/>
    </row>
    <row r="77" spans="1:6" x14ac:dyDescent="0.25">
      <c r="A77" s="23"/>
      <c r="B77" s="29"/>
      <c r="C77" s="29"/>
      <c r="D77" s="21"/>
      <c r="E77" s="21"/>
      <c r="F77" s="24"/>
    </row>
    <row r="78" spans="1:6" x14ac:dyDescent="0.25">
      <c r="A78" s="23"/>
      <c r="B78" s="29"/>
      <c r="C78" s="29"/>
      <c r="D78" s="21"/>
      <c r="E78" s="21"/>
      <c r="F78" s="24"/>
    </row>
    <row r="79" spans="1:6" x14ac:dyDescent="0.25">
      <c r="A79" s="23"/>
      <c r="B79" s="29"/>
      <c r="C79" s="29"/>
      <c r="D79" s="21"/>
      <c r="E79" s="21"/>
      <c r="F79" s="24"/>
    </row>
    <row r="80" spans="1:6" x14ac:dyDescent="0.25">
      <c r="A80" s="23"/>
      <c r="B80" s="29"/>
      <c r="C80" s="29"/>
      <c r="D80" s="21"/>
      <c r="E80" s="21"/>
      <c r="F80" s="24"/>
    </row>
    <row r="81" spans="1:6" x14ac:dyDescent="0.25">
      <c r="A81" s="23"/>
      <c r="B81" s="29"/>
      <c r="C81" s="29"/>
      <c r="D81" s="21"/>
      <c r="E81" s="21"/>
      <c r="F81" s="24"/>
    </row>
    <row r="82" spans="1:6" x14ac:dyDescent="0.25">
      <c r="A82" s="23"/>
      <c r="B82" s="29"/>
      <c r="C82" s="29"/>
      <c r="D82" s="21"/>
      <c r="E82" s="21"/>
      <c r="F82" s="24"/>
    </row>
    <row r="83" spans="1:6" x14ac:dyDescent="0.25">
      <c r="A83" s="23"/>
      <c r="B83" s="29"/>
      <c r="C83" s="29"/>
      <c r="D83" s="21"/>
      <c r="E83" s="21"/>
      <c r="F83" s="24"/>
    </row>
    <row r="84" spans="1:6" x14ac:dyDescent="0.25">
      <c r="A84" s="23"/>
      <c r="B84" s="29"/>
      <c r="C84" s="29"/>
      <c r="D84" s="21"/>
      <c r="E84" s="21"/>
      <c r="F84" s="24"/>
    </row>
    <row r="85" spans="1:6" x14ac:dyDescent="0.25">
      <c r="A85" s="23"/>
      <c r="B85" s="29"/>
      <c r="C85" s="29"/>
      <c r="D85" s="21"/>
      <c r="E85" s="21"/>
      <c r="F85" s="24"/>
    </row>
    <row r="86" spans="1:6" x14ac:dyDescent="0.25">
      <c r="A86" s="23"/>
      <c r="B86" s="29"/>
      <c r="C86" s="29"/>
      <c r="D86" s="21"/>
      <c r="E86" s="21"/>
      <c r="F86" s="24"/>
    </row>
    <row r="87" spans="1:6" x14ac:dyDescent="0.25">
      <c r="A87" s="23"/>
      <c r="B87" s="29"/>
      <c r="C87" s="29"/>
      <c r="D87" s="21"/>
      <c r="E87" s="21"/>
      <c r="F87" s="24"/>
    </row>
    <row r="88" spans="1:6" x14ac:dyDescent="0.25">
      <c r="A88" s="23"/>
      <c r="B88" s="29"/>
      <c r="C88" s="29"/>
      <c r="D88" s="21"/>
      <c r="E88" s="21"/>
      <c r="F88" s="24"/>
    </row>
    <row r="89" spans="1:6" x14ac:dyDescent="0.25">
      <c r="A89" s="23"/>
      <c r="B89" s="29"/>
      <c r="C89" s="29"/>
      <c r="D89" s="21"/>
      <c r="E89" s="21"/>
      <c r="F89" s="24"/>
    </row>
    <row r="90" spans="1:6" x14ac:dyDescent="0.25">
      <c r="A90" s="23"/>
      <c r="B90" s="29"/>
      <c r="C90" s="29"/>
      <c r="D90" s="21"/>
      <c r="E90" s="21"/>
      <c r="F90" s="24"/>
    </row>
    <row r="91" spans="1:6" x14ac:dyDescent="0.25">
      <c r="A91" s="23"/>
      <c r="B91" s="29"/>
      <c r="C91" s="29"/>
      <c r="D91" s="21"/>
      <c r="E91" s="21"/>
      <c r="F91" s="24"/>
    </row>
    <row r="92" spans="1:6" x14ac:dyDescent="0.25">
      <c r="A92" s="23"/>
      <c r="B92" s="29"/>
      <c r="C92" s="29"/>
      <c r="D92" s="21"/>
      <c r="E92" s="21"/>
      <c r="F92" s="24"/>
    </row>
    <row r="93" spans="1:6" x14ac:dyDescent="0.25">
      <c r="A93" s="23"/>
      <c r="B93" s="29"/>
      <c r="C93" s="29"/>
      <c r="D93" s="21"/>
      <c r="E93" s="21"/>
      <c r="F93" s="24"/>
    </row>
    <row r="94" spans="1:6" x14ac:dyDescent="0.25">
      <c r="A94" s="23"/>
      <c r="B94" s="29"/>
      <c r="C94" s="29"/>
      <c r="D94" s="21"/>
      <c r="E94" s="21"/>
      <c r="F94" s="24"/>
    </row>
    <row r="95" spans="1:6" x14ac:dyDescent="0.25">
      <c r="A95" s="23"/>
      <c r="B95" s="29"/>
      <c r="C95" s="29"/>
      <c r="D95" s="21"/>
      <c r="E95" s="21"/>
      <c r="F95" s="24"/>
    </row>
    <row r="96" spans="1:6" x14ac:dyDescent="0.25">
      <c r="A96" s="23"/>
      <c r="B96" s="29"/>
      <c r="C96" s="29"/>
      <c r="D96" s="21"/>
      <c r="E96" s="21"/>
      <c r="F96" s="24"/>
    </row>
    <row r="97" spans="1:6" x14ac:dyDescent="0.25">
      <c r="A97" s="23"/>
      <c r="B97" s="29"/>
      <c r="C97" s="29"/>
      <c r="D97" s="21"/>
      <c r="E97" s="21"/>
      <c r="F97" s="24"/>
    </row>
    <row r="98" spans="1:6" x14ac:dyDescent="0.25">
      <c r="A98" s="23"/>
      <c r="B98" s="29"/>
      <c r="C98" s="29"/>
      <c r="D98" s="21"/>
      <c r="E98" s="21"/>
      <c r="F98" s="24"/>
    </row>
    <row r="99" spans="1:6" x14ac:dyDescent="0.25">
      <c r="A99" s="23"/>
      <c r="B99" s="29"/>
      <c r="C99" s="29"/>
      <c r="D99" s="21"/>
      <c r="E99" s="21"/>
      <c r="F99" s="24"/>
    </row>
    <row r="100" spans="1:6" x14ac:dyDescent="0.25">
      <c r="A100" s="23"/>
      <c r="B100" s="29"/>
      <c r="C100" s="29"/>
      <c r="D100" s="21"/>
      <c r="E100" s="21"/>
      <c r="F100" s="24"/>
    </row>
    <row r="101" spans="1:6" x14ac:dyDescent="0.25">
      <c r="A101" s="23"/>
      <c r="B101" s="29"/>
      <c r="C101" s="29"/>
      <c r="D101" s="21"/>
      <c r="E101" s="21"/>
      <c r="F101" s="24"/>
    </row>
    <row r="102" spans="1:6" x14ac:dyDescent="0.25">
      <c r="A102" s="23"/>
      <c r="B102" s="29"/>
      <c r="C102" s="29"/>
      <c r="D102" s="21"/>
      <c r="E102" s="21"/>
      <c r="F102" s="24"/>
    </row>
    <row r="103" spans="1:6" x14ac:dyDescent="0.25">
      <c r="A103" s="23"/>
      <c r="B103" s="29"/>
      <c r="C103" s="29"/>
      <c r="D103" s="21"/>
      <c r="E103" s="21"/>
      <c r="F103" s="24"/>
    </row>
    <row r="104" spans="1:6" x14ac:dyDescent="0.25">
      <c r="A104" s="23"/>
      <c r="B104" s="29"/>
      <c r="C104" s="29"/>
      <c r="D104" s="21"/>
      <c r="E104" s="21"/>
      <c r="F104" s="24"/>
    </row>
    <row r="105" spans="1:6" x14ac:dyDescent="0.25">
      <c r="A105" s="23"/>
      <c r="B105" s="29"/>
      <c r="C105" s="29"/>
      <c r="D105" s="21"/>
      <c r="E105" s="21"/>
      <c r="F105" s="24"/>
    </row>
    <row r="106" spans="1:6" x14ac:dyDescent="0.25">
      <c r="A106" s="23"/>
      <c r="B106" s="29"/>
      <c r="C106" s="29"/>
      <c r="D106" s="21"/>
      <c r="E106" s="21"/>
      <c r="F106" s="24"/>
    </row>
    <row r="107" spans="1:6" x14ac:dyDescent="0.25">
      <c r="A107" s="23"/>
      <c r="B107" s="29"/>
      <c r="C107" s="29"/>
      <c r="D107" s="21"/>
      <c r="E107" s="21"/>
      <c r="F107" s="24"/>
    </row>
    <row r="108" spans="1:6" x14ac:dyDescent="0.25">
      <c r="A108" s="23"/>
      <c r="B108" s="29"/>
      <c r="C108" s="29"/>
      <c r="D108" s="21"/>
      <c r="E108" s="21"/>
      <c r="F108" s="24"/>
    </row>
    <row r="109" spans="1:6" x14ac:dyDescent="0.25">
      <c r="A109" s="23"/>
      <c r="B109" s="29"/>
      <c r="C109" s="29"/>
      <c r="D109" s="21"/>
      <c r="E109" s="21"/>
      <c r="F109" s="24"/>
    </row>
    <row r="110" spans="1:6" x14ac:dyDescent="0.25">
      <c r="A110" s="23"/>
      <c r="B110" s="29"/>
      <c r="C110" s="29"/>
      <c r="D110" s="21"/>
      <c r="E110" s="21"/>
      <c r="F110" s="24"/>
    </row>
    <row r="111" spans="1:6" x14ac:dyDescent="0.25">
      <c r="A111" s="23"/>
      <c r="B111" s="29"/>
      <c r="C111" s="29"/>
      <c r="D111" s="21"/>
      <c r="E111" s="21"/>
      <c r="F111" s="24"/>
    </row>
    <row r="112" spans="1:6" x14ac:dyDescent="0.25">
      <c r="A112" s="23"/>
      <c r="B112" s="29"/>
      <c r="C112" s="29"/>
      <c r="D112" s="21"/>
      <c r="E112" s="21"/>
      <c r="F112" s="24"/>
    </row>
    <row r="113" spans="1:6" x14ac:dyDescent="0.25">
      <c r="A113" s="23"/>
      <c r="B113" s="29"/>
      <c r="C113" s="29"/>
      <c r="D113" s="21"/>
      <c r="E113" s="21"/>
      <c r="F113" s="24"/>
    </row>
    <row r="114" spans="1:6" x14ac:dyDescent="0.25">
      <c r="A114" s="23"/>
      <c r="B114" s="29"/>
      <c r="C114" s="29"/>
      <c r="D114" s="21"/>
      <c r="E114" s="21"/>
      <c r="F114" s="24"/>
    </row>
    <row r="115" spans="1:6" x14ac:dyDescent="0.25">
      <c r="A115" s="23"/>
      <c r="B115" s="29"/>
      <c r="C115" s="29"/>
      <c r="D115" s="21"/>
      <c r="E115" s="21"/>
      <c r="F115" s="24"/>
    </row>
    <row r="116" spans="1:6" x14ac:dyDescent="0.25">
      <c r="A116" s="23"/>
      <c r="B116" s="29"/>
      <c r="C116" s="29"/>
      <c r="D116" s="21"/>
      <c r="E116" s="21"/>
      <c r="F116" s="24"/>
    </row>
    <row r="117" spans="1:6" x14ac:dyDescent="0.25">
      <c r="A117" s="23"/>
      <c r="B117" s="29"/>
      <c r="C117" s="29"/>
      <c r="D117" s="21"/>
      <c r="E117" s="21"/>
      <c r="F117" s="24"/>
    </row>
    <row r="118" spans="1:6" x14ac:dyDescent="0.25">
      <c r="A118" s="23"/>
      <c r="B118" s="29"/>
      <c r="C118" s="29"/>
      <c r="D118" s="21"/>
      <c r="E118" s="21"/>
      <c r="F118" s="24"/>
    </row>
    <row r="119" spans="1:6" x14ac:dyDescent="0.25">
      <c r="A119" s="23"/>
      <c r="B119" s="29"/>
      <c r="C119" s="29"/>
      <c r="D119" s="21"/>
      <c r="E119" s="21"/>
      <c r="F119" s="24"/>
    </row>
    <row r="120" spans="1:6" x14ac:dyDescent="0.25">
      <c r="A120" s="23"/>
      <c r="B120" s="29"/>
      <c r="C120" s="29"/>
      <c r="D120" s="21"/>
      <c r="E120" s="21"/>
      <c r="F120" s="24"/>
    </row>
    <row r="121" spans="1:6" x14ac:dyDescent="0.25">
      <c r="A121" s="23"/>
      <c r="B121" s="29"/>
      <c r="C121" s="29"/>
      <c r="D121" s="21"/>
      <c r="E121" s="21"/>
      <c r="F121" s="24"/>
    </row>
    <row r="122" spans="1:6" x14ac:dyDescent="0.25">
      <c r="A122" s="23"/>
      <c r="B122" s="29"/>
      <c r="C122" s="29"/>
      <c r="D122" s="21"/>
      <c r="E122" s="21"/>
      <c r="F122" s="24"/>
    </row>
    <row r="123" spans="1:6" x14ac:dyDescent="0.25">
      <c r="A123" s="23"/>
      <c r="B123" s="29"/>
      <c r="C123" s="29"/>
      <c r="D123" s="21"/>
      <c r="E123" s="21"/>
      <c r="F123" s="24"/>
    </row>
    <row r="124" spans="1:6" x14ac:dyDescent="0.25">
      <c r="A124" s="23"/>
      <c r="B124" s="29"/>
      <c r="C124" s="29"/>
      <c r="D124" s="21"/>
      <c r="E124" s="21"/>
      <c r="F124" s="24"/>
    </row>
    <row r="125" spans="1:6" x14ac:dyDescent="0.25">
      <c r="A125" s="23"/>
      <c r="B125" s="29"/>
      <c r="C125" s="29"/>
      <c r="D125" s="21"/>
      <c r="E125" s="21"/>
      <c r="F125" s="24"/>
    </row>
    <row r="126" spans="1:6" x14ac:dyDescent="0.25">
      <c r="A126" s="23"/>
      <c r="B126" s="29"/>
      <c r="C126" s="29"/>
      <c r="D126" s="21"/>
      <c r="E126" s="21"/>
      <c r="F126" s="24"/>
    </row>
    <row r="127" spans="1:6" x14ac:dyDescent="0.25">
      <c r="A127" s="23"/>
      <c r="B127" s="29"/>
      <c r="C127" s="29"/>
      <c r="D127" s="21"/>
      <c r="E127" s="21"/>
      <c r="F127" s="24"/>
    </row>
    <row r="128" spans="1:6" x14ac:dyDescent="0.25">
      <c r="A128" s="23"/>
      <c r="B128" s="29"/>
      <c r="C128" s="29"/>
      <c r="D128" s="21"/>
      <c r="E128" s="21"/>
      <c r="F128" s="24"/>
    </row>
    <row r="129" spans="1:6" x14ac:dyDescent="0.25">
      <c r="A129" s="23"/>
      <c r="B129" s="29"/>
      <c r="C129" s="29"/>
      <c r="D129" s="21"/>
      <c r="E129" s="21"/>
      <c r="F129" s="24"/>
    </row>
    <row r="130" spans="1:6" x14ac:dyDescent="0.25">
      <c r="A130" s="23"/>
      <c r="B130" s="29"/>
      <c r="C130" s="29"/>
      <c r="D130" s="21"/>
      <c r="E130" s="21"/>
      <c r="F130" s="24"/>
    </row>
    <row r="131" spans="1:6" x14ac:dyDescent="0.25">
      <c r="A131" s="23"/>
      <c r="B131" s="29"/>
      <c r="C131" s="29"/>
      <c r="D131" s="21"/>
      <c r="E131" s="21"/>
      <c r="F131" s="24"/>
    </row>
    <row r="132" spans="1:6" x14ac:dyDescent="0.25">
      <c r="A132" s="23"/>
      <c r="B132" s="29"/>
      <c r="C132" s="29"/>
      <c r="D132" s="21"/>
      <c r="E132" s="21"/>
      <c r="F132" s="24"/>
    </row>
    <row r="133" spans="1:6" x14ac:dyDescent="0.25">
      <c r="A133" s="23"/>
      <c r="B133" s="29"/>
      <c r="C133" s="29"/>
      <c r="D133" s="21"/>
      <c r="E133" s="21"/>
      <c r="F133" s="24"/>
    </row>
    <row r="134" spans="1:6" x14ac:dyDescent="0.25">
      <c r="A134" s="23"/>
      <c r="B134" s="29"/>
      <c r="C134" s="29"/>
      <c r="D134" s="21"/>
      <c r="E134" s="21"/>
      <c r="F134" s="24"/>
    </row>
    <row r="135" spans="1:6" x14ac:dyDescent="0.25">
      <c r="A135" s="23"/>
      <c r="B135" s="29"/>
      <c r="C135" s="29"/>
      <c r="D135" s="21"/>
      <c r="E135" s="21"/>
      <c r="F135" s="24"/>
    </row>
    <row r="136" spans="1:6" x14ac:dyDescent="0.25">
      <c r="A136" s="23"/>
      <c r="B136" s="29"/>
      <c r="C136" s="29"/>
      <c r="D136" s="21"/>
      <c r="E136" s="21"/>
      <c r="F136" s="24"/>
    </row>
    <row r="137" spans="1:6" x14ac:dyDescent="0.25">
      <c r="A137" s="23"/>
      <c r="B137" s="29"/>
      <c r="C137" s="29"/>
      <c r="D137" s="21"/>
      <c r="E137" s="21"/>
      <c r="F137" s="24"/>
    </row>
    <row r="138" spans="1:6" x14ac:dyDescent="0.25">
      <c r="A138" s="23"/>
      <c r="B138" s="29"/>
      <c r="C138" s="29"/>
      <c r="D138" s="21"/>
      <c r="E138" s="21"/>
      <c r="F138" s="24"/>
    </row>
    <row r="139" spans="1:6" x14ac:dyDescent="0.25">
      <c r="A139" s="23"/>
      <c r="B139" s="29"/>
      <c r="C139" s="29"/>
      <c r="D139" s="21"/>
      <c r="E139" s="21"/>
      <c r="F139" s="24"/>
    </row>
    <row r="140" spans="1:6" x14ac:dyDescent="0.25">
      <c r="A140" s="23"/>
      <c r="B140" s="29"/>
      <c r="C140" s="29"/>
      <c r="D140" s="21"/>
      <c r="E140" s="21"/>
      <c r="F140" s="24"/>
    </row>
    <row r="141" spans="1:6" x14ac:dyDescent="0.25">
      <c r="A141" s="23"/>
      <c r="B141" s="29"/>
      <c r="C141" s="29"/>
      <c r="D141" s="21"/>
      <c r="E141" s="21"/>
      <c r="F141" s="24"/>
    </row>
  </sheetData>
  <mergeCells count="113"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tabSelected="1" topLeftCell="A34" workbookViewId="0">
      <selection activeCell="H71" sqref="H71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50</v>
      </c>
      <c r="B2" s="4">
        <v>9.14</v>
      </c>
      <c r="C2" s="3">
        <v>5.4317548746518103</v>
      </c>
      <c r="D2" s="7">
        <f>B2*C2/100</f>
        <v>0.49646239554317545</v>
      </c>
    </row>
    <row r="3" spans="1:4" x14ac:dyDescent="0.25">
      <c r="A3" s="4" t="s">
        <v>5</v>
      </c>
      <c r="B3" s="4">
        <v>8.17</v>
      </c>
      <c r="C3" s="3">
        <v>0.41666666666666602</v>
      </c>
      <c r="D3" s="7">
        <f t="shared" ref="D3:D50" si="0">B3*C3/100</f>
        <v>3.4041666666666616E-2</v>
      </c>
    </row>
    <row r="4" spans="1:4" x14ac:dyDescent="0.25">
      <c r="A4" s="4" t="s">
        <v>3</v>
      </c>
      <c r="B4" s="4">
        <v>8.1199999999999992</v>
      </c>
      <c r="C4" s="3">
        <v>-0.20366598778004</v>
      </c>
      <c r="D4" s="7">
        <f t="shared" si="0"/>
        <v>-1.6537678207739246E-2</v>
      </c>
    </row>
    <row r="5" spans="1:4" x14ac:dyDescent="0.25">
      <c r="A5" s="4" t="s">
        <v>1</v>
      </c>
      <c r="B5" s="4">
        <v>6.99</v>
      </c>
      <c r="C5" s="3">
        <v>3.80154639175257</v>
      </c>
      <c r="D5" s="7">
        <f t="shared" si="0"/>
        <v>0.26572809278350468</v>
      </c>
    </row>
    <row r="6" spans="1:4" x14ac:dyDescent="0.25">
      <c r="A6" s="4" t="s">
        <v>6</v>
      </c>
      <c r="B6" s="4">
        <v>5.99</v>
      </c>
      <c r="C6" s="3">
        <v>4.1322314049586701</v>
      </c>
      <c r="D6" s="7">
        <f t="shared" si="0"/>
        <v>0.24752066115702434</v>
      </c>
    </row>
    <row r="7" spans="1:4" x14ac:dyDescent="0.25">
      <c r="A7" s="4" t="s">
        <v>70</v>
      </c>
      <c r="B7" s="4">
        <v>4.88</v>
      </c>
      <c r="C7" s="3">
        <v>-0.87</v>
      </c>
      <c r="D7" s="7">
        <f t="shared" si="0"/>
        <v>-4.2455999999999994E-2</v>
      </c>
    </row>
    <row r="8" spans="1:4" x14ac:dyDescent="0.25">
      <c r="A8" s="4" t="s">
        <v>7</v>
      </c>
      <c r="B8" s="26">
        <v>4.46</v>
      </c>
      <c r="C8" s="27">
        <v>1.2610340479192901</v>
      </c>
      <c r="D8" s="7">
        <f t="shared" si="0"/>
        <v>5.624211853720034E-2</v>
      </c>
    </row>
    <row r="9" spans="1:4" x14ac:dyDescent="0.25">
      <c r="A9" s="4" t="s">
        <v>8</v>
      </c>
      <c r="B9" s="4">
        <v>4.17</v>
      </c>
      <c r="C9" s="3">
        <v>-1.2753188297074201</v>
      </c>
      <c r="D9" s="7">
        <f t="shared" si="0"/>
        <v>-5.3180795198799417E-2</v>
      </c>
    </row>
    <row r="10" spans="1:4" x14ac:dyDescent="0.25">
      <c r="A10" s="4" t="s">
        <v>4</v>
      </c>
      <c r="B10" s="4">
        <v>3.23</v>
      </c>
      <c r="C10" s="3">
        <v>-0.269687162891046</v>
      </c>
      <c r="D10" s="7">
        <f t="shared" si="0"/>
        <v>-8.7108953613807862E-3</v>
      </c>
    </row>
    <row r="11" spans="1:4" x14ac:dyDescent="0.25">
      <c r="A11" s="4" t="s">
        <v>16</v>
      </c>
      <c r="B11" s="4">
        <v>2.84</v>
      </c>
      <c r="C11" s="3">
        <v>0.95541401273885296</v>
      </c>
      <c r="D11" s="7">
        <f t="shared" si="0"/>
        <v>2.7133757961783425E-2</v>
      </c>
    </row>
    <row r="12" spans="1:4" x14ac:dyDescent="0.25">
      <c r="A12" s="4" t="s">
        <v>33</v>
      </c>
      <c r="B12" s="4">
        <v>2.54</v>
      </c>
      <c r="C12" s="28">
        <v>2.3529411764705799</v>
      </c>
      <c r="D12" s="7">
        <f t="shared" si="0"/>
        <v>5.9764705882352727E-2</v>
      </c>
    </row>
    <row r="13" spans="1:4" x14ac:dyDescent="0.25">
      <c r="A13" s="4" t="s">
        <v>18</v>
      </c>
      <c r="B13" s="26">
        <v>2.37</v>
      </c>
      <c r="C13" s="3">
        <v>2.0380434782608599</v>
      </c>
      <c r="D13" s="7">
        <f t="shared" si="0"/>
        <v>4.8301630434782375E-2</v>
      </c>
    </row>
    <row r="14" spans="1:4" x14ac:dyDescent="0.25">
      <c r="A14" s="4" t="s">
        <v>71</v>
      </c>
      <c r="B14" s="26">
        <v>2.37</v>
      </c>
      <c r="C14" s="3">
        <v>-2.9</v>
      </c>
      <c r="D14" s="7">
        <f t="shared" si="0"/>
        <v>-6.8729999999999999E-2</v>
      </c>
    </row>
    <row r="15" spans="1:4" x14ac:dyDescent="0.25">
      <c r="A15" s="4" t="s">
        <v>60</v>
      </c>
      <c r="B15" s="26">
        <v>2.21</v>
      </c>
      <c r="C15" s="27">
        <v>-4.3253408556652504</v>
      </c>
      <c r="D15" s="7">
        <f t="shared" si="0"/>
        <v>-9.5590032910202044E-2</v>
      </c>
    </row>
    <row r="16" spans="1:4" x14ac:dyDescent="0.25">
      <c r="A16" s="4" t="s">
        <v>2</v>
      </c>
      <c r="B16" s="4">
        <v>1.93</v>
      </c>
      <c r="C16" s="3">
        <v>1.05555555555555</v>
      </c>
      <c r="D16" s="7">
        <f t="shared" si="0"/>
        <v>2.0372222222222115E-2</v>
      </c>
    </row>
    <row r="17" spans="1:4" x14ac:dyDescent="0.25">
      <c r="A17" s="4" t="s">
        <v>23</v>
      </c>
      <c r="B17" s="4">
        <v>1.77</v>
      </c>
      <c r="C17" s="3">
        <v>2.4260355029585798</v>
      </c>
      <c r="D17" s="7">
        <f t="shared" si="0"/>
        <v>4.2940828402366862E-2</v>
      </c>
    </row>
    <row r="18" spans="1:4" x14ac:dyDescent="0.25">
      <c r="A18" s="4" t="s">
        <v>72</v>
      </c>
      <c r="B18" s="4">
        <v>1.53</v>
      </c>
      <c r="C18" s="3">
        <v>-0.91</v>
      </c>
      <c r="D18" s="7">
        <f t="shared" si="0"/>
        <v>-1.3923000000000001E-2</v>
      </c>
    </row>
    <row r="19" spans="1:4" x14ac:dyDescent="0.25">
      <c r="A19" s="4" t="s">
        <v>25</v>
      </c>
      <c r="B19" s="4">
        <v>1.51</v>
      </c>
      <c r="C19" s="3">
        <v>1.6840417000801899</v>
      </c>
      <c r="D19" s="7">
        <f t="shared" si="0"/>
        <v>2.542902967121087E-2</v>
      </c>
    </row>
    <row r="20" spans="1:4" x14ac:dyDescent="0.25">
      <c r="A20" s="4" t="s">
        <v>73</v>
      </c>
      <c r="B20" s="4">
        <v>1.44</v>
      </c>
      <c r="C20" s="3">
        <v>0.36</v>
      </c>
      <c r="D20" s="7">
        <f t="shared" si="0"/>
        <v>5.1839999999999994E-3</v>
      </c>
    </row>
    <row r="21" spans="1:4" x14ac:dyDescent="0.25">
      <c r="A21" s="4" t="s">
        <v>74</v>
      </c>
      <c r="B21" s="4">
        <v>1.44</v>
      </c>
      <c r="C21" s="3">
        <v>-1.82</v>
      </c>
      <c r="D21" s="7">
        <f t="shared" si="0"/>
        <v>-2.6207999999999999E-2</v>
      </c>
    </row>
    <row r="22" spans="1:4" x14ac:dyDescent="0.25">
      <c r="A22" s="4" t="s">
        <v>24</v>
      </c>
      <c r="B22" s="4">
        <v>1.43</v>
      </c>
      <c r="C22" s="3">
        <v>-0.10157440325038</v>
      </c>
      <c r="D22" s="7">
        <f t="shared" si="0"/>
        <v>-1.452513966480434E-3</v>
      </c>
    </row>
    <row r="23" spans="1:4" x14ac:dyDescent="0.25">
      <c r="A23" s="4" t="s">
        <v>27</v>
      </c>
      <c r="B23" s="26">
        <v>1.42</v>
      </c>
      <c r="C23" s="27">
        <v>-2.1864211737629402</v>
      </c>
      <c r="D23" s="7">
        <f t="shared" si="0"/>
        <v>-3.1047180667433748E-2</v>
      </c>
    </row>
    <row r="24" spans="1:4" x14ac:dyDescent="0.25">
      <c r="A24" s="4" t="s">
        <v>19</v>
      </c>
      <c r="B24" s="26">
        <v>1.4</v>
      </c>
      <c r="C24" s="27">
        <v>4.1009463722397399</v>
      </c>
      <c r="D24" s="7">
        <f t="shared" si="0"/>
        <v>5.7413249211356356E-2</v>
      </c>
    </row>
    <row r="25" spans="1:4" x14ac:dyDescent="0.25">
      <c r="A25" s="4" t="s">
        <v>26</v>
      </c>
      <c r="B25" s="26">
        <v>1.33</v>
      </c>
      <c r="C25" s="27">
        <v>-2.8827674567584798</v>
      </c>
      <c r="D25" s="7">
        <f t="shared" si="0"/>
        <v>-3.8340807174887782E-2</v>
      </c>
    </row>
    <row r="26" spans="1:4" x14ac:dyDescent="0.25">
      <c r="A26" s="4" t="s">
        <v>75</v>
      </c>
      <c r="B26" s="26">
        <v>1.25</v>
      </c>
      <c r="C26" s="27">
        <v>4.76</v>
      </c>
      <c r="D26" s="7">
        <f t="shared" si="0"/>
        <v>5.949999999999999E-2</v>
      </c>
    </row>
    <row r="27" spans="1:4" x14ac:dyDescent="0.25">
      <c r="A27" s="4" t="s">
        <v>21</v>
      </c>
      <c r="B27" s="26">
        <v>1.17</v>
      </c>
      <c r="C27" s="27">
        <v>4.55227613806903</v>
      </c>
      <c r="D27" s="7">
        <f t="shared" si="0"/>
        <v>5.3261630815407648E-2</v>
      </c>
    </row>
    <row r="28" spans="1:4" x14ac:dyDescent="0.25">
      <c r="A28" s="4" t="s">
        <v>76</v>
      </c>
      <c r="B28" s="26">
        <v>1.04</v>
      </c>
      <c r="C28" s="27">
        <v>-1.66</v>
      </c>
      <c r="D28" s="7">
        <f t="shared" si="0"/>
        <v>-1.7263999999999998E-2</v>
      </c>
    </row>
    <row r="29" spans="1:4" x14ac:dyDescent="0.25">
      <c r="A29" s="4" t="s">
        <v>77</v>
      </c>
      <c r="B29" s="26">
        <v>0.9</v>
      </c>
      <c r="C29" s="27">
        <v>0.57999999999999996</v>
      </c>
      <c r="D29" s="7">
        <f t="shared" si="0"/>
        <v>5.2199999999999998E-3</v>
      </c>
    </row>
    <row r="30" spans="1:4" x14ac:dyDescent="0.25">
      <c r="A30" s="4" t="s">
        <v>78</v>
      </c>
      <c r="B30" s="26">
        <v>0.84</v>
      </c>
      <c r="C30" s="27">
        <v>4.6100000000000003</v>
      </c>
      <c r="D30" s="7">
        <f t="shared" si="0"/>
        <v>3.8724000000000001E-2</v>
      </c>
    </row>
    <row r="31" spans="1:4" x14ac:dyDescent="0.25">
      <c r="A31" s="4" t="s">
        <v>58</v>
      </c>
      <c r="B31" s="26">
        <v>0.82</v>
      </c>
      <c r="C31" s="27">
        <v>2.29990800367985</v>
      </c>
      <c r="D31" s="7">
        <f t="shared" si="0"/>
        <v>1.885924563017477E-2</v>
      </c>
    </row>
    <row r="32" spans="1:4" x14ac:dyDescent="0.25">
      <c r="A32" s="4" t="s">
        <v>29</v>
      </c>
      <c r="B32" s="26">
        <v>0.8</v>
      </c>
      <c r="C32" s="27">
        <v>3.6466774716369499</v>
      </c>
      <c r="D32" s="7">
        <f t="shared" si="0"/>
        <v>2.91734197730956E-2</v>
      </c>
    </row>
    <row r="33" spans="1:4" x14ac:dyDescent="0.25">
      <c r="A33" s="4" t="s">
        <v>79</v>
      </c>
      <c r="B33" s="26">
        <v>0.79</v>
      </c>
      <c r="C33" s="27">
        <v>0.76</v>
      </c>
      <c r="D33" s="7">
        <f t="shared" si="0"/>
        <v>6.0040000000000007E-3</v>
      </c>
    </row>
    <row r="34" spans="1:4" x14ac:dyDescent="0.25">
      <c r="A34" s="4" t="s">
        <v>49</v>
      </c>
      <c r="B34" s="26">
        <v>0.76</v>
      </c>
      <c r="C34" s="27">
        <v>-0.23474178403755799</v>
      </c>
      <c r="D34" s="7">
        <f t="shared" si="0"/>
        <v>-1.7840375586854406E-3</v>
      </c>
    </row>
    <row r="35" spans="1:4" x14ac:dyDescent="0.25">
      <c r="A35" s="4" t="s">
        <v>22</v>
      </c>
      <c r="B35" s="26">
        <v>0.73</v>
      </c>
      <c r="C35" s="27">
        <v>-2.3980815347721798</v>
      </c>
      <c r="D35" s="7">
        <f t="shared" si="0"/>
        <v>-1.7505995203836913E-2</v>
      </c>
    </row>
    <row r="36" spans="1:4" x14ac:dyDescent="0.25">
      <c r="A36" s="4" t="s">
        <v>80</v>
      </c>
      <c r="B36" s="26">
        <v>0.72</v>
      </c>
      <c r="C36" s="27">
        <v>0.78</v>
      </c>
      <c r="D36" s="7">
        <f t="shared" si="0"/>
        <v>5.6159999999999995E-3</v>
      </c>
    </row>
    <row r="37" spans="1:4" x14ac:dyDescent="0.25">
      <c r="A37" s="4" t="s">
        <v>81</v>
      </c>
      <c r="B37" s="26">
        <v>0.71</v>
      </c>
      <c r="C37" s="27">
        <v>0.61</v>
      </c>
      <c r="D37" s="7">
        <f t="shared" si="0"/>
        <v>4.3309999999999998E-3</v>
      </c>
    </row>
    <row r="38" spans="1:4" x14ac:dyDescent="0.25">
      <c r="A38" s="4" t="s">
        <v>82</v>
      </c>
      <c r="B38" s="26">
        <v>0.7</v>
      </c>
      <c r="C38" s="27">
        <v>0.84</v>
      </c>
      <c r="D38" s="7">
        <f t="shared" si="0"/>
        <v>5.8799999999999998E-3</v>
      </c>
    </row>
    <row r="39" spans="1:4" x14ac:dyDescent="0.25">
      <c r="A39" s="4" t="s">
        <v>83</v>
      </c>
      <c r="B39" s="26">
        <v>0.7</v>
      </c>
      <c r="C39" s="27">
        <v>0.1</v>
      </c>
      <c r="D39" s="7">
        <f t="shared" si="0"/>
        <v>6.9999999999999988E-4</v>
      </c>
    </row>
    <row r="40" spans="1:4" x14ac:dyDescent="0.25">
      <c r="A40" s="4" t="s">
        <v>84</v>
      </c>
      <c r="B40" s="26">
        <v>0.64</v>
      </c>
      <c r="C40" s="27">
        <v>0.97</v>
      </c>
      <c r="D40" s="7">
        <f t="shared" si="0"/>
        <v>6.208E-3</v>
      </c>
    </row>
    <row r="41" spans="1:4" x14ac:dyDescent="0.25">
      <c r="A41" s="4" t="s">
        <v>85</v>
      </c>
      <c r="B41" s="26">
        <v>0.63</v>
      </c>
      <c r="C41" s="27">
        <v>0.11</v>
      </c>
      <c r="D41" s="7">
        <f t="shared" si="0"/>
        <v>6.9300000000000004E-4</v>
      </c>
    </row>
    <row r="42" spans="1:4" x14ac:dyDescent="0.25">
      <c r="A42" s="4" t="s">
        <v>86</v>
      </c>
      <c r="B42" s="26">
        <v>0.61</v>
      </c>
      <c r="C42" s="27">
        <v>4.43</v>
      </c>
      <c r="D42" s="7">
        <f t="shared" si="0"/>
        <v>2.7022999999999998E-2</v>
      </c>
    </row>
    <row r="43" spans="1:4" x14ac:dyDescent="0.25">
      <c r="A43" s="4" t="s">
        <v>87</v>
      </c>
      <c r="B43" s="26">
        <v>0.56999999999999995</v>
      </c>
      <c r="C43" s="27">
        <v>1.82</v>
      </c>
      <c r="D43" s="7">
        <f t="shared" si="0"/>
        <v>1.0374E-2</v>
      </c>
    </row>
    <row r="44" spans="1:4" x14ac:dyDescent="0.25">
      <c r="A44" s="4" t="s">
        <v>88</v>
      </c>
      <c r="B44" s="26">
        <v>0.55000000000000004</v>
      </c>
      <c r="C44" s="27">
        <v>-0.05</v>
      </c>
      <c r="D44" s="7">
        <f t="shared" si="0"/>
        <v>-2.7500000000000002E-4</v>
      </c>
    </row>
    <row r="45" spans="1:4" x14ac:dyDescent="0.25">
      <c r="A45" s="4" t="s">
        <v>89</v>
      </c>
      <c r="B45" s="26">
        <v>0.5</v>
      </c>
      <c r="C45" s="27">
        <v>-1.91</v>
      </c>
      <c r="D45" s="7">
        <f t="shared" si="0"/>
        <v>-9.5499999999999995E-3</v>
      </c>
    </row>
    <row r="46" spans="1:4" x14ac:dyDescent="0.25">
      <c r="A46" s="4" t="s">
        <v>90</v>
      </c>
      <c r="B46" s="26">
        <v>0.5</v>
      </c>
      <c r="C46" s="27">
        <v>1.41</v>
      </c>
      <c r="D46" s="7">
        <f t="shared" si="0"/>
        <v>7.0499999999999998E-3</v>
      </c>
    </row>
    <row r="47" spans="1:4" x14ac:dyDescent="0.25">
      <c r="A47" s="4" t="s">
        <v>91</v>
      </c>
      <c r="B47" s="26">
        <v>0.45</v>
      </c>
      <c r="C47" s="27">
        <v>0.32</v>
      </c>
      <c r="D47" s="7">
        <f t="shared" si="0"/>
        <v>1.4400000000000001E-3</v>
      </c>
    </row>
    <row r="48" spans="1:4" x14ac:dyDescent="0.25">
      <c r="A48" s="4" t="s">
        <v>92</v>
      </c>
      <c r="B48" s="26">
        <v>0.4</v>
      </c>
      <c r="C48" s="27">
        <v>5.47</v>
      </c>
      <c r="D48" s="7">
        <f t="shared" si="0"/>
        <v>2.188E-2</v>
      </c>
    </row>
    <row r="49" spans="1:6" x14ac:dyDescent="0.25">
      <c r="A49" s="4" t="s">
        <v>93</v>
      </c>
      <c r="B49" s="26">
        <v>0.33</v>
      </c>
      <c r="C49" s="27">
        <v>2.52</v>
      </c>
      <c r="D49" s="7">
        <f t="shared" si="0"/>
        <v>8.3160000000000005E-3</v>
      </c>
    </row>
    <row r="50" spans="1:6" x14ac:dyDescent="0.25">
      <c r="A50" s="4" t="s">
        <v>94</v>
      </c>
      <c r="B50" s="26">
        <v>0.16</v>
      </c>
      <c r="C50" s="27">
        <v>-0.17</v>
      </c>
      <c r="D50" s="7">
        <f t="shared" si="0"/>
        <v>-2.72E-4</v>
      </c>
    </row>
    <row r="51" spans="1:6" x14ac:dyDescent="0.25">
      <c r="A51" s="16" t="s">
        <v>63</v>
      </c>
      <c r="B51" s="5">
        <f>SUM(B2:B50)</f>
        <v>99.950000000000031</v>
      </c>
      <c r="C51" s="5"/>
      <c r="D51" s="6">
        <f>SUM(D2:D50)</f>
        <v>1.2539597184428788</v>
      </c>
    </row>
    <row r="62" spans="1:6" x14ac:dyDescent="0.25">
      <c r="A62" s="5" t="s">
        <v>68</v>
      </c>
      <c r="B62" s="30" t="s">
        <v>52</v>
      </c>
      <c r="C62" s="30"/>
      <c r="D62" s="20" t="s">
        <v>53</v>
      </c>
      <c r="E62" s="5" t="s">
        <v>67</v>
      </c>
      <c r="F62" s="5" t="s">
        <v>69</v>
      </c>
    </row>
    <row r="63" spans="1:6" x14ac:dyDescent="0.25">
      <c r="A63" s="23">
        <v>46226</v>
      </c>
      <c r="B63" s="29">
        <v>18186</v>
      </c>
      <c r="C63" s="29"/>
      <c r="D63" s="21">
        <v>1825486354</v>
      </c>
      <c r="E63" s="21">
        <v>49785912</v>
      </c>
      <c r="F63" s="24">
        <v>4.7000000000000002E-3</v>
      </c>
    </row>
    <row r="64" spans="1:6" x14ac:dyDescent="0.25">
      <c r="A64" s="23">
        <v>46227</v>
      </c>
      <c r="B64" s="29">
        <v>18753</v>
      </c>
      <c r="C64" s="29"/>
      <c r="D64" s="21">
        <v>1898338108</v>
      </c>
      <c r="E64" s="21">
        <v>79391973</v>
      </c>
      <c r="F64" s="24">
        <v>-3.5999999999999999E-3</v>
      </c>
    </row>
    <row r="65" spans="1:6" x14ac:dyDescent="0.25">
      <c r="A65" s="23">
        <v>46230</v>
      </c>
      <c r="B65" s="29">
        <v>19293</v>
      </c>
      <c r="C65" s="29"/>
      <c r="D65" s="21">
        <v>2016158831</v>
      </c>
      <c r="E65" s="21">
        <v>115257058</v>
      </c>
      <c r="F65" s="24">
        <v>1.4E-3</v>
      </c>
    </row>
    <row r="66" spans="1:6" x14ac:dyDescent="0.25">
      <c r="A66" s="23">
        <v>46231</v>
      </c>
      <c r="B66" s="29">
        <v>19624</v>
      </c>
      <c r="C66" s="29"/>
      <c r="D66" s="21">
        <v>2053257616</v>
      </c>
      <c r="E66" s="21">
        <v>37759305</v>
      </c>
      <c r="F66" s="24">
        <v>-2.9999999999999997E-4</v>
      </c>
    </row>
    <row r="67" spans="1:6" x14ac:dyDescent="0.25">
      <c r="A67" s="23">
        <v>46232</v>
      </c>
      <c r="B67" s="29">
        <v>20120</v>
      </c>
      <c r="C67" s="29"/>
      <c r="D67" s="21">
        <v>2073450735</v>
      </c>
      <c r="E67" s="21">
        <v>45076881</v>
      </c>
      <c r="F67" s="24">
        <v>-1.21E-2</v>
      </c>
    </row>
    <row r="68" spans="1:6" x14ac:dyDescent="0.25">
      <c r="A68" s="23">
        <v>46233</v>
      </c>
      <c r="B68" s="29">
        <v>20320</v>
      </c>
      <c r="C68" s="29"/>
      <c r="D68" s="21">
        <v>2050352793</v>
      </c>
      <c r="E68" s="21">
        <v>-24388706</v>
      </c>
      <c r="F68" s="24">
        <v>5.9999999999999995E-4</v>
      </c>
    </row>
    <row r="69" spans="1:6" x14ac:dyDescent="0.25">
      <c r="A69" s="23">
        <v>46234</v>
      </c>
      <c r="B69" s="29">
        <v>20380</v>
      </c>
      <c r="C69" s="29"/>
      <c r="D69" s="21">
        <v>1988789335</v>
      </c>
      <c r="E69" s="21">
        <v>-68771429</v>
      </c>
      <c r="F69" s="24">
        <v>3.5000000000000001E-3</v>
      </c>
    </row>
    <row r="70" spans="1:6" x14ac:dyDescent="0.25">
      <c r="A70" s="23">
        <v>46237</v>
      </c>
      <c r="B70" s="29">
        <v>20094</v>
      </c>
      <c r="C70" s="29"/>
      <c r="D70" s="21">
        <v>1984485111</v>
      </c>
      <c r="E70" s="21">
        <v>-13488765</v>
      </c>
      <c r="F70" s="24">
        <v>4.5999999999999999E-3</v>
      </c>
    </row>
    <row r="71" spans="1:6" x14ac:dyDescent="0.25">
      <c r="A71" s="23">
        <v>46238</v>
      </c>
      <c r="B71" s="29">
        <v>20026</v>
      </c>
      <c r="C71" s="29"/>
      <c r="D71" s="21">
        <v>1998771298</v>
      </c>
      <c r="E71" s="21">
        <v>5725163</v>
      </c>
      <c r="F71" s="24">
        <v>4.3E-3</v>
      </c>
    </row>
    <row r="72" spans="1:6" x14ac:dyDescent="0.25">
      <c r="F72" s="24"/>
    </row>
    <row r="73" spans="1:6" x14ac:dyDescent="0.25">
      <c r="F73" s="24"/>
    </row>
    <row r="74" spans="1:6" x14ac:dyDescent="0.25">
      <c r="F74" s="24"/>
    </row>
    <row r="75" spans="1:6" x14ac:dyDescent="0.25"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10">
    <mergeCell ref="B71:C71"/>
    <mergeCell ref="B70:C70"/>
    <mergeCell ref="B68:C68"/>
    <mergeCell ref="B69:C69"/>
    <mergeCell ref="B62:C62"/>
    <mergeCell ref="B63:C63"/>
    <mergeCell ref="B64:C64"/>
    <mergeCell ref="B65:C65"/>
    <mergeCell ref="B66:C66"/>
    <mergeCell ref="B67:C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KHA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2026-08-04T08:08:08Z</dcterms:modified>
</cp:coreProperties>
</file>