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1B451332-BA59-4A21-A863-2A8C02FD2D3E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BMU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6" l="1"/>
  <c r="D6" i="6"/>
  <c r="D5" i="6"/>
  <c r="D4" i="6"/>
  <c r="D3" i="6"/>
  <c r="D2" i="6"/>
  <c r="D14" i="1"/>
  <c r="D13" i="1"/>
  <c r="D12" i="1"/>
  <c r="D11" i="1"/>
  <c r="D10" i="1"/>
  <c r="D9" i="1"/>
  <c r="D8" i="1"/>
  <c r="D7" i="1"/>
  <c r="D6" i="1"/>
  <c r="D5" i="1"/>
  <c r="D4" i="1"/>
  <c r="D3" i="1"/>
  <c r="D2" i="1"/>
  <c r="D16" i="1"/>
  <c r="D15" i="1"/>
  <c r="B8" i="6"/>
  <c r="D8" i="6" l="1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B17" i="1"/>
  <c r="D5" i="4"/>
  <c r="D37" i="3" l="1"/>
  <c r="D44" i="2"/>
  <c r="D6" i="4"/>
  <c r="D17" i="1"/>
</calcChain>
</file>

<file path=xl/sharedStrings.xml><?xml version="1.0" encoding="utf-8"?>
<sst xmlns="http://schemas.openxmlformats.org/spreadsheetml/2006/main" count="152" uniqueCount="77">
  <si>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</si>
  <si>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</si>
  <si>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</si>
  <si>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</si>
  <si>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</si>
  <si>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</si>
  <si>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</si>
  <si>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</si>
  <si>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</si>
  <si>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</si>
  <si>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</si>
  <si>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</si>
  <si>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</si>
  <si>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</si>
  <si>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</si>
  <si>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</si>
  <si>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</si>
  <si>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</si>
  <si>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</si>
  <si>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</si>
  <si>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</si>
  <si>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</si>
  <si>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</si>
  <si>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</si>
  <si>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</si>
  <si>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</si>
  <si>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</si>
  <si>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</si>
  <si>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</si>
  <si>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</si>
  <si>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</si>
  <si>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</si>
  <si>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</si>
  <si>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</si>
  <si>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</si>
  <si>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</si>
  <si>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</si>
  <si>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</si>
  <si>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</si>
  <si>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</si>
  <si>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</si>
  <si>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</si>
  <si>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</si>
  <si>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</si>
  <si>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</si>
  <si>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</si>
  <si>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</si>
  <si>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</si>
  <si>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</si>
  <si>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TPKGY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</si>
  <si>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</si>
  <si>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</si>
  <si>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</si>
  <si>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</si>
  <si>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</si>
  <si>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</si>
  <si>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</si>
  <si>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</si>
  <si>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</si>
  <si>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</si>
  <si>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</si>
  <si>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</si>
  <si>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</si>
  <si>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</si>
  <si>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</si>
  <si>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</si>
  <si>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</si>
  <si>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</si>
  <si>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</si>
  <si>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KBORU</t>
  </si>
  <si>
    <t>ARFYE</t>
  </si>
  <si>
    <t>EGEGY</t>
  </si>
  <si>
    <t>GRTHO</t>
  </si>
  <si>
    <t>ZGYO</t>
  </si>
  <si>
    <t>YEOTK</t>
  </si>
  <si>
    <t>Tarih</t>
  </si>
  <si>
    <t>MARJ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</si>
</sst>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0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tabSelected="1" workbookViewId="0">
      <selection activeCell="G17" sqref="G17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4.5703125" customWidth="1"/>
    <col min="6" max="6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-2.734375</v>
      </c>
      <c r="D2" s="7">
        <f>B2*C2/100</f>
        <v>-0.62480468750000007</v>
      </c>
    </row>
    <row r="3" spans="1:4" x14ac:dyDescent="0.25">
      <c r="A3" s="4" t="s">
        <v>1</v>
      </c>
      <c r="B3" s="4">
        <v>14.3</v>
      </c>
      <c r="C3" s="3">
        <v>9.8557692307692299</v>
      </c>
      <c r="D3" s="7">
        <f>B3*C3/100</f>
        <v>1.409375</v>
      </c>
    </row>
    <row r="4" spans="1:4" x14ac:dyDescent="0.25">
      <c r="A4" s="4" t="s">
        <v>3</v>
      </c>
      <c r="B4" s="4">
        <v>7.73</v>
      </c>
      <c r="C4" s="3">
        <v>0</v>
      </c>
      <c r="D4" s="7">
        <f t="shared" ref="D4:D16" si="0">B4*C4/100</f>
        <v>0</v>
      </c>
    </row>
    <row r="5" spans="1:4" x14ac:dyDescent="0.25">
      <c r="A5" s="4" t="s">
        <v>5</v>
      </c>
      <c r="B5" s="4">
        <v>7.14</v>
      </c>
      <c r="C5" s="3">
        <v>0.23201856148491801</v>
      </c>
      <c r="D5" s="7">
        <f t="shared" si="0"/>
        <v>1.6566125290023145E-2</v>
      </c>
    </row>
    <row r="6" spans="1:4" x14ac:dyDescent="0.25">
      <c r="A6" s="4" t="s">
        <v>2</v>
      </c>
      <c r="B6" s="4">
        <v>6.63</v>
      </c>
      <c r="C6" s="3">
        <v>0.36496350364963498</v>
      </c>
      <c r="D6" s="7">
        <f t="shared" si="0"/>
        <v>2.4197080291970798E-2</v>
      </c>
    </row>
    <row r="7" spans="1:4" x14ac:dyDescent="0.25">
      <c r="A7" s="4" t="s">
        <v>4</v>
      </c>
      <c r="B7" s="4">
        <v>5.61</v>
      </c>
      <c r="C7" s="3">
        <v>-5.5986696230598598</v>
      </c>
      <c r="D7" s="7">
        <f t="shared" si="0"/>
        <v>-0.31408536585365815</v>
      </c>
    </row>
    <row r="8" spans="1:4" x14ac:dyDescent="0.25">
      <c r="A8" s="4" t="s">
        <v>6</v>
      </c>
      <c r="B8" s="4">
        <v>1.99</v>
      </c>
      <c r="C8" s="3">
        <v>-10</v>
      </c>
      <c r="D8" s="7">
        <f t="shared" si="0"/>
        <v>-0.19899999999999998</v>
      </c>
    </row>
    <row r="9" spans="1:4" x14ac:dyDescent="0.25">
      <c r="A9" s="4" t="s">
        <v>50</v>
      </c>
      <c r="B9" s="4">
        <v>1.04</v>
      </c>
      <c r="C9" s="3">
        <v>2.46075519728468</v>
      </c>
      <c r="D9" s="7">
        <f t="shared" si="0"/>
        <v>2.5591854051760673E-2</v>
      </c>
    </row>
    <row r="10" spans="1:4" x14ac:dyDescent="0.25">
      <c r="A10" s="4" t="s">
        <v>7</v>
      </c>
      <c r="B10" s="4">
        <v>0.54</v>
      </c>
      <c r="C10" s="3">
        <v>6.23441396508728E-2</v>
      </c>
      <c r="D10" s="7">
        <f t="shared" si="0"/>
        <v>3.3665835411471313E-4</v>
      </c>
    </row>
    <row r="11" spans="1:4" x14ac:dyDescent="0.25">
      <c r="A11" s="4" t="s">
        <v>8</v>
      </c>
      <c r="B11" s="4">
        <v>0.52</v>
      </c>
      <c r="C11" s="3">
        <v>-3.1828275351591402</v>
      </c>
      <c r="D11" s="7">
        <f t="shared" si="0"/>
        <v>-1.6550703182827527E-2</v>
      </c>
    </row>
    <row r="12" spans="1:4" x14ac:dyDescent="0.25">
      <c r="A12" s="4" t="s">
        <v>9</v>
      </c>
      <c r="B12" s="4">
        <v>0.27</v>
      </c>
      <c r="C12" s="3">
        <v>3.0042918454935599</v>
      </c>
      <c r="D12" s="7">
        <f t="shared" si="0"/>
        <v>8.1115879828326121E-3</v>
      </c>
    </row>
    <row r="13" spans="1:4" x14ac:dyDescent="0.25">
      <c r="A13" s="4" t="s">
        <v>51</v>
      </c>
      <c r="B13" s="4">
        <v>0.14000000000000001</v>
      </c>
      <c r="C13" s="3">
        <v>-1.89418680600914</v>
      </c>
      <c r="D13" s="7">
        <f t="shared" si="0"/>
        <v>-2.6518615284127963E-3</v>
      </c>
    </row>
    <row r="14" spans="1:4" x14ac:dyDescent="0.25">
      <c r="A14" s="4" t="s">
        <v>27</v>
      </c>
      <c r="B14" s="4">
        <v>7.0000000000000007E-2</v>
      </c>
      <c r="C14" s="3">
        <v>1.26050420168067</v>
      </c>
      <c r="D14" s="7">
        <f t="shared" si="0"/>
        <v>8.823529411764691E-4</v>
      </c>
    </row>
    <row r="15" spans="1:4" x14ac:dyDescent="0.25">
      <c r="A15" s="4" t="s">
        <v>49</v>
      </c>
      <c r="B15" s="4">
        <v>11.91</v>
      </c>
      <c r="C15" s="3">
        <v>-2.9</v>
      </c>
      <c r="D15" s="7">
        <f t="shared" si="0"/>
        <v>-0.34539000000000003</v>
      </c>
    </row>
    <row r="16" spans="1:4" x14ac:dyDescent="0.25">
      <c r="A16" s="4" t="s">
        <v>52</v>
      </c>
      <c r="B16" s="4">
        <v>1.27</v>
      </c>
      <c r="C16" s="3">
        <v>-1.57</v>
      </c>
      <c r="D16" s="7">
        <f t="shared" si="0"/>
        <v>-1.9938999999999998E-2</v>
      </c>
    </row>
    <row r="17" spans="1:7" x14ac:dyDescent="0.25">
      <c r="A17" s="16" t="s">
        <v>64</v>
      </c>
      <c r="B17" s="5">
        <f>B2+B3+B4+B5+B6+B7+B8+B9+B10+B11+B12+B13+B14+B15+B16</f>
        <v>82.01</v>
      </c>
      <c r="C17" s="5"/>
      <c r="D17" s="6">
        <f>D2+D3+D4+D5+D6+D7+D8+D9+D10+D11+D12+D13+D14+D15+D16</f>
        <v>-3.7360959153020193E-2</v>
      </c>
    </row>
    <row r="18" spans="1:7" x14ac:dyDescent="0.25">
      <c r="A18" s="16"/>
      <c r="B18" s="5"/>
      <c r="C18" s="5"/>
      <c r="D18" s="6"/>
    </row>
    <row r="19" spans="1:7" x14ac:dyDescent="0.25">
      <c r="A19" s="16"/>
      <c r="B19" s="5"/>
      <c r="C19" s="5"/>
      <c r="D19" s="6"/>
    </row>
    <row r="20" spans="1:7" x14ac:dyDescent="0.25">
      <c r="A20" s="16"/>
      <c r="B20" s="5"/>
      <c r="C20" s="5"/>
      <c r="D20" s="6"/>
    </row>
    <row r="21" spans="1:7" x14ac:dyDescent="0.25">
      <c r="A21" s="16"/>
      <c r="B21" s="5"/>
      <c r="C21" s="5"/>
      <c r="D21" s="6"/>
    </row>
    <row r="22" spans="1:7" x14ac:dyDescent="0.25">
      <c r="A22" s="16"/>
      <c r="B22" s="5"/>
      <c r="C22" s="5"/>
      <c r="D22" s="6"/>
    </row>
    <row r="23" spans="1:7" x14ac:dyDescent="0.25">
      <c r="A23" s="16"/>
      <c r="B23" s="5"/>
      <c r="C23" s="5"/>
      <c r="D23" s="6"/>
    </row>
    <row r="24" spans="1:7" x14ac:dyDescent="0.25">
      <c r="A24" s="16"/>
      <c r="B24" s="5"/>
      <c r="C24" s="5"/>
      <c r="D24" s="6"/>
    </row>
    <row r="25" spans="1:7" x14ac:dyDescent="0.25">
      <c r="A25" s="16"/>
      <c r="B25" s="5"/>
      <c r="C25" s="5"/>
      <c r="D25" s="6"/>
    </row>
    <row r="26" spans="1:7" x14ac:dyDescent="0.25">
      <c r="A26" s="16"/>
      <c r="B26" s="5"/>
      <c r="C26" s="5"/>
      <c r="D26" s="6"/>
    </row>
    <row r="28" spans="1:7" x14ac:dyDescent="0.25">
      <c r="C28" s="5"/>
    </row>
    <row r="29" spans="1:7" x14ac:dyDescent="0.25">
      <c r="C29" s="4"/>
      <c r="D29" s="4"/>
      <c r="E29" s="4"/>
      <c r="F29" s="4"/>
    </row>
    <row r="30" spans="1:7" x14ac:dyDescent="0.25">
      <c r="A30" s="25"/>
      <c r="B30" s="25"/>
      <c r="C30" s="4"/>
      <c r="D30" s="4"/>
      <c r="E30" s="4"/>
      <c r="F30" s="17"/>
    </row>
    <row r="31" spans="1:7" x14ac:dyDescent="0.25">
      <c r="A31" s="25"/>
      <c r="B31" s="25"/>
      <c r="C31" s="9"/>
      <c r="D31" s="19"/>
      <c r="E31" s="17"/>
    </row>
    <row r="32" spans="1:7" x14ac:dyDescent="0.25">
      <c r="A32" s="5" t="s">
        <v>75</v>
      </c>
      <c r="B32" s="26" t="s">
        <v>53</v>
      </c>
      <c r="C32" s="26"/>
      <c r="D32" s="26" t="s">
        <v>54</v>
      </c>
      <c r="E32" s="26"/>
      <c r="F32" s="5" t="s">
        <v>68</v>
      </c>
      <c r="G32" s="5" t="s">
        <v>76</v>
      </c>
    </row>
    <row r="33" spans="1:7" x14ac:dyDescent="0.25">
      <c r="A33" s="18">
        <v>46226</v>
      </c>
      <c r="B33" s="25">
        <v>98970</v>
      </c>
      <c r="C33" s="25"/>
      <c r="D33" s="27">
        <v>232874657613</v>
      </c>
      <c r="E33" s="27"/>
      <c r="F33" s="21">
        <v>1310146537</v>
      </c>
      <c r="G33" s="28">
        <v>2.1100000000000001E-2</v>
      </c>
    </row>
    <row r="34" spans="1:7" x14ac:dyDescent="0.25">
      <c r="A34" s="18">
        <v>46227</v>
      </c>
      <c r="B34" s="25">
        <v>99051</v>
      </c>
      <c r="C34" s="25"/>
      <c r="D34" s="27">
        <v>227320292084</v>
      </c>
      <c r="E34" s="27"/>
      <c r="F34" s="22">
        <v>-6072488957</v>
      </c>
      <c r="G34" s="28">
        <v>2.2000000000000001E-3</v>
      </c>
    </row>
    <row r="35" spans="1:7" x14ac:dyDescent="0.25">
      <c r="A35" s="18">
        <v>46230</v>
      </c>
      <c r="B35" s="25">
        <v>98455</v>
      </c>
      <c r="C35" s="25"/>
      <c r="D35" s="27">
        <v>229116006481</v>
      </c>
      <c r="E35" s="27"/>
      <c r="F35" s="22">
        <v>291803673</v>
      </c>
      <c r="G35" s="28">
        <v>6.6E-3</v>
      </c>
    </row>
  </sheetData>
  <mergeCells count="10">
    <mergeCell ref="B35:C35"/>
    <mergeCell ref="D35:E35"/>
    <mergeCell ref="B34:C34"/>
    <mergeCell ref="D34:E34"/>
    <mergeCell ref="A30:B30"/>
    <mergeCell ref="A31:B31"/>
    <mergeCell ref="B32:C32"/>
    <mergeCell ref="D32:E32"/>
    <mergeCell ref="D33:E33"/>
    <mergeCell ref="B33:C33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65"/>
  <sheetViews>
    <sheetView topLeftCell="A13" workbookViewId="0">
      <selection activeCell="L59" sqref="L59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</cols>
  <sheetData>
    <row r="1" spans="1:4" x14ac:dyDescent="0.25">
      <c r="A1" s="2" t="s">
        <v>43</v>
      </c>
      <c r="B1" s="2" t="s">
        <v>55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0.58064516129032195</v>
      </c>
      <c r="D2" s="4">
        <f>B2*C2/100</f>
        <v>5.1793548387096718E-2</v>
      </c>
    </row>
    <row r="3" spans="1:4" x14ac:dyDescent="0.25">
      <c r="A3" s="4" t="s">
        <v>14</v>
      </c>
      <c r="B3" s="4">
        <v>8.81</v>
      </c>
      <c r="C3" s="14">
        <v>5.56680161943319</v>
      </c>
      <c r="D3" s="4">
        <f t="shared" ref="D3:D43" si="0">B3*C3/100</f>
        <v>0.49043522267206408</v>
      </c>
    </row>
    <row r="4" spans="1:4" x14ac:dyDescent="0.25">
      <c r="A4" s="4" t="s">
        <v>12</v>
      </c>
      <c r="B4" s="4">
        <v>8.2799999999999994</v>
      </c>
      <c r="C4" s="14">
        <v>4.7808764940239001</v>
      </c>
      <c r="D4" s="4">
        <f t="shared" si="0"/>
        <v>0.3958565737051789</v>
      </c>
    </row>
    <row r="5" spans="1:4" x14ac:dyDescent="0.25">
      <c r="A5" s="4" t="s">
        <v>15</v>
      </c>
      <c r="B5" s="4">
        <v>6.17</v>
      </c>
      <c r="C5" s="14">
        <v>4.6207497820401002</v>
      </c>
      <c r="D5" s="4">
        <f t="shared" si="0"/>
        <v>0.28510026155187418</v>
      </c>
    </row>
    <row r="6" spans="1:4" x14ac:dyDescent="0.25">
      <c r="A6" s="4" t="s">
        <v>9</v>
      </c>
      <c r="B6" s="4">
        <v>4.75</v>
      </c>
      <c r="C6" s="14">
        <v>3.0042918454935599</v>
      </c>
      <c r="D6" s="4">
        <f t="shared" si="0"/>
        <v>0.14270386266094409</v>
      </c>
    </row>
    <row r="7" spans="1:4" x14ac:dyDescent="0.25">
      <c r="A7" s="4" t="s">
        <v>16</v>
      </c>
      <c r="B7" s="4">
        <v>4.42</v>
      </c>
      <c r="C7" s="14">
        <v>1.92307692307692</v>
      </c>
      <c r="D7" s="4">
        <f t="shared" si="0"/>
        <v>8.4999999999999853E-2</v>
      </c>
    </row>
    <row r="8" spans="1:4" x14ac:dyDescent="0.25">
      <c r="A8" s="4" t="s">
        <v>19</v>
      </c>
      <c r="B8" s="4">
        <v>3.77</v>
      </c>
      <c r="C8" s="14">
        <v>-1.70118343195266</v>
      </c>
      <c r="D8" s="4">
        <f t="shared" si="0"/>
        <v>-6.413461538461529E-2</v>
      </c>
    </row>
    <row r="9" spans="1:4" x14ac:dyDescent="0.25">
      <c r="A9" s="4" t="s">
        <v>18</v>
      </c>
      <c r="B9" s="4">
        <v>3.6</v>
      </c>
      <c r="C9" s="14">
        <v>-1.75081433224755</v>
      </c>
      <c r="D9" s="4">
        <f t="shared" si="0"/>
        <v>-6.3029315960911797E-2</v>
      </c>
    </row>
    <row r="10" spans="1:4" x14ac:dyDescent="0.25">
      <c r="A10" s="4" t="s">
        <v>20</v>
      </c>
      <c r="B10" s="4">
        <v>3.37</v>
      </c>
      <c r="C10" s="14">
        <v>-1.378896882494</v>
      </c>
      <c r="D10" s="4">
        <f t="shared" si="0"/>
        <v>-4.6468824940047802E-2</v>
      </c>
    </row>
    <row r="11" spans="1:4" x14ac:dyDescent="0.25">
      <c r="A11" s="4" t="s">
        <v>56</v>
      </c>
      <c r="B11" s="4">
        <v>2.68</v>
      </c>
      <c r="C11" s="14">
        <v>-4.1044776119402897</v>
      </c>
      <c r="D11" s="4">
        <f t="shared" si="0"/>
        <v>-0.10999999999999976</v>
      </c>
    </row>
    <row r="12" spans="1:4" x14ac:dyDescent="0.25">
      <c r="A12" s="4" t="s">
        <v>0</v>
      </c>
      <c r="B12" s="4">
        <v>2.58</v>
      </c>
      <c r="C12" s="14">
        <v>-2.734375</v>
      </c>
      <c r="D12" s="4">
        <f t="shared" si="0"/>
        <v>-7.0546874999999995E-2</v>
      </c>
    </row>
    <row r="13" spans="1:4" x14ac:dyDescent="0.25">
      <c r="A13" s="4" t="s">
        <v>25</v>
      </c>
      <c r="B13" s="4">
        <v>2.4500000000000002</v>
      </c>
      <c r="C13" s="14">
        <v>-0.23219814241486</v>
      </c>
      <c r="D13" s="4">
        <f t="shared" si="0"/>
        <v>-5.6888544891640705E-3</v>
      </c>
    </row>
    <row r="14" spans="1:4" x14ac:dyDescent="0.25">
      <c r="A14" s="4" t="s">
        <v>6</v>
      </c>
      <c r="B14" s="4">
        <v>2.0499999999999998</v>
      </c>
      <c r="C14" s="14">
        <v>-10</v>
      </c>
      <c r="D14" s="4">
        <f t="shared" si="0"/>
        <v>-0.20499999999999999</v>
      </c>
    </row>
    <row r="15" spans="1:4" x14ac:dyDescent="0.25">
      <c r="A15" s="4" t="s">
        <v>17</v>
      </c>
      <c r="B15" s="4">
        <v>1.73</v>
      </c>
      <c r="C15" s="14">
        <v>-4.1920731707316996</v>
      </c>
      <c r="D15" s="4">
        <f t="shared" si="0"/>
        <v>-7.25228658536584E-2</v>
      </c>
    </row>
    <row r="16" spans="1:4" x14ac:dyDescent="0.25">
      <c r="A16" s="4" t="s">
        <v>22</v>
      </c>
      <c r="B16" s="4">
        <v>1.64</v>
      </c>
      <c r="C16" s="14">
        <v>0.32102728731942198</v>
      </c>
      <c r="D16" s="4">
        <f t="shared" si="0"/>
        <v>5.2648475120385205E-3</v>
      </c>
    </row>
    <row r="17" spans="1:4" x14ac:dyDescent="0.25">
      <c r="A17" s="4" t="s">
        <v>23</v>
      </c>
      <c r="B17" s="4">
        <v>1.62</v>
      </c>
      <c r="C17" s="14">
        <v>0</v>
      </c>
      <c r="D17" s="4">
        <f t="shared" si="0"/>
        <v>0</v>
      </c>
    </row>
    <row r="18" spans="1:4" x14ac:dyDescent="0.25">
      <c r="A18" s="4" t="s">
        <v>26</v>
      </c>
      <c r="B18" s="4">
        <v>1.48</v>
      </c>
      <c r="C18" s="14">
        <v>0.78895463510848096</v>
      </c>
      <c r="D18" s="4">
        <f t="shared" si="0"/>
        <v>1.1676528599605518E-2</v>
      </c>
    </row>
    <row r="19" spans="1:4" x14ac:dyDescent="0.25">
      <c r="A19" s="4" t="s">
        <v>21</v>
      </c>
      <c r="B19" s="4">
        <v>1.4</v>
      </c>
      <c r="C19" s="14">
        <v>-1.3500482160077101</v>
      </c>
      <c r="D19" s="4">
        <f t="shared" si="0"/>
        <v>-1.890067502410794E-2</v>
      </c>
    </row>
    <row r="20" spans="1:4" x14ac:dyDescent="0.25">
      <c r="A20" s="4" t="s">
        <v>24</v>
      </c>
      <c r="B20" s="4">
        <v>1.3</v>
      </c>
      <c r="C20" s="14">
        <v>-0.45546558704453399</v>
      </c>
      <c r="D20" s="4">
        <f t="shared" si="0"/>
        <v>-5.9210526315789424E-3</v>
      </c>
    </row>
    <row r="21" spans="1:4" x14ac:dyDescent="0.25">
      <c r="A21" s="4" t="s">
        <v>28</v>
      </c>
      <c r="B21" s="4">
        <v>1.26</v>
      </c>
      <c r="C21" s="14">
        <v>-2.31481481481481</v>
      </c>
      <c r="D21" s="4">
        <f t="shared" si="0"/>
        <v>-2.9166666666666608E-2</v>
      </c>
    </row>
    <row r="22" spans="1:4" x14ac:dyDescent="0.25">
      <c r="A22" s="4" t="s">
        <v>29</v>
      </c>
      <c r="B22" s="4">
        <v>1.2</v>
      </c>
      <c r="C22" s="14">
        <v>0.87301587301587302</v>
      </c>
      <c r="D22" s="4">
        <f t="shared" si="0"/>
        <v>1.0476190476190477E-2</v>
      </c>
    </row>
    <row r="23" spans="1:4" x14ac:dyDescent="0.25">
      <c r="A23" s="4" t="s">
        <v>3</v>
      </c>
      <c r="B23" s="4">
        <v>0.73</v>
      </c>
      <c r="C23" s="14">
        <v>0</v>
      </c>
      <c r="D23" s="4">
        <f t="shared" si="0"/>
        <v>0</v>
      </c>
    </row>
    <row r="24" spans="1:4" x14ac:dyDescent="0.25">
      <c r="A24" s="4" t="s">
        <v>33</v>
      </c>
      <c r="B24" s="4">
        <v>0.71</v>
      </c>
      <c r="C24" s="14">
        <v>0</v>
      </c>
      <c r="D24" s="4">
        <f t="shared" si="0"/>
        <v>0</v>
      </c>
    </row>
    <row r="25" spans="1:4" x14ac:dyDescent="0.25">
      <c r="A25" s="4" t="s">
        <v>7</v>
      </c>
      <c r="B25" s="4">
        <v>0.59</v>
      </c>
      <c r="C25" s="8">
        <v>6.23441396508728E-2</v>
      </c>
      <c r="D25" s="4">
        <f t="shared" si="0"/>
        <v>3.6783042394014946E-4</v>
      </c>
    </row>
    <row r="26" spans="1:4" x14ac:dyDescent="0.25">
      <c r="A26" s="4" t="s">
        <v>27</v>
      </c>
      <c r="B26" s="4">
        <v>0.56000000000000005</v>
      </c>
      <c r="C26" s="8">
        <v>1.26050420168067</v>
      </c>
      <c r="D26" s="4">
        <f t="shared" si="0"/>
        <v>7.0588235294117528E-3</v>
      </c>
    </row>
    <row r="27" spans="1:4" x14ac:dyDescent="0.25">
      <c r="A27" s="4" t="s">
        <v>39</v>
      </c>
      <c r="B27" s="4">
        <v>0.4</v>
      </c>
      <c r="C27" s="8">
        <v>-1.5775635407537201</v>
      </c>
      <c r="D27" s="4">
        <f t="shared" si="0"/>
        <v>-6.3102541630148815E-3</v>
      </c>
    </row>
    <row r="28" spans="1:4" x14ac:dyDescent="0.25">
      <c r="A28" s="4" t="s">
        <v>31</v>
      </c>
      <c r="B28" s="4">
        <v>0.39</v>
      </c>
      <c r="C28" s="8">
        <v>0.56710775047258899</v>
      </c>
      <c r="D28" s="4">
        <f t="shared" si="0"/>
        <v>2.2117202268430972E-3</v>
      </c>
    </row>
    <row r="29" spans="1:4" x14ac:dyDescent="0.25">
      <c r="A29" s="4" t="s">
        <v>30</v>
      </c>
      <c r="B29" s="4">
        <v>0.36</v>
      </c>
      <c r="C29" s="8">
        <v>-0.168918918918918</v>
      </c>
      <c r="D29" s="4">
        <f t="shared" si="0"/>
        <v>-6.0810810810810472E-4</v>
      </c>
    </row>
    <row r="30" spans="1:4" x14ac:dyDescent="0.25">
      <c r="A30" s="4" t="s">
        <v>34</v>
      </c>
      <c r="B30" s="4">
        <v>0.34</v>
      </c>
      <c r="C30" s="8">
        <v>1.6380655226209</v>
      </c>
      <c r="D30" s="4">
        <f t="shared" si="0"/>
        <v>5.5694227769110607E-3</v>
      </c>
    </row>
    <row r="31" spans="1:4" x14ac:dyDescent="0.25">
      <c r="A31" s="4" t="s">
        <v>58</v>
      </c>
      <c r="B31" s="4">
        <v>0.34</v>
      </c>
      <c r="C31" s="8">
        <v>-1.9</v>
      </c>
      <c r="D31" s="4">
        <f t="shared" si="0"/>
        <v>-6.4600000000000005E-3</v>
      </c>
    </row>
    <row r="32" spans="1:4" x14ac:dyDescent="0.25">
      <c r="A32" s="4" t="s">
        <v>59</v>
      </c>
      <c r="B32" s="4">
        <v>0.33</v>
      </c>
      <c r="C32" s="8">
        <v>1.0597302504816899</v>
      </c>
      <c r="D32" s="4">
        <f t="shared" si="0"/>
        <v>3.4971098265895767E-3</v>
      </c>
    </row>
    <row r="33" spans="1:5" x14ac:dyDescent="0.25">
      <c r="A33" s="4" t="s">
        <v>2</v>
      </c>
      <c r="B33" s="11">
        <v>0.26</v>
      </c>
      <c r="C33" s="15">
        <v>0.36496350364963498</v>
      </c>
      <c r="D33" s="4">
        <f t="shared" si="0"/>
        <v>9.4890510948905107E-4</v>
      </c>
    </row>
    <row r="34" spans="1:5" x14ac:dyDescent="0.25">
      <c r="A34" s="4" t="s">
        <v>32</v>
      </c>
      <c r="B34" s="4">
        <v>0.18</v>
      </c>
      <c r="C34" s="8">
        <v>-2.0242914979757001</v>
      </c>
      <c r="D34" s="4">
        <f t="shared" si="0"/>
        <v>-3.6437246963562596E-3</v>
      </c>
    </row>
    <row r="35" spans="1:5" x14ac:dyDescent="0.25">
      <c r="A35" s="4" t="s">
        <v>4</v>
      </c>
      <c r="B35" s="4">
        <v>0.12</v>
      </c>
      <c r="C35" s="8">
        <v>-5.5986696230598598</v>
      </c>
      <c r="D35" s="4">
        <f t="shared" si="0"/>
        <v>-6.7184035476718319E-3</v>
      </c>
    </row>
    <row r="36" spans="1:5" x14ac:dyDescent="0.25">
      <c r="A36" s="4" t="s">
        <v>60</v>
      </c>
      <c r="B36" s="4">
        <v>7.0000000000000007E-2</v>
      </c>
      <c r="C36" s="8">
        <v>-4.6875</v>
      </c>
      <c r="D36" s="4">
        <f t="shared" si="0"/>
        <v>-3.2812500000000007E-3</v>
      </c>
    </row>
    <row r="37" spans="1:5" x14ac:dyDescent="0.25">
      <c r="A37" s="4" t="s">
        <v>61</v>
      </c>
      <c r="B37" s="4">
        <v>0.05</v>
      </c>
      <c r="C37" s="8">
        <v>-4.6210720887245801E-2</v>
      </c>
      <c r="D37" s="4">
        <f t="shared" si="0"/>
        <v>-2.3105360443622899E-5</v>
      </c>
    </row>
    <row r="38" spans="1:5" x14ac:dyDescent="0.25">
      <c r="A38" s="4" t="s">
        <v>62</v>
      </c>
      <c r="B38" s="4">
        <v>0.04</v>
      </c>
      <c r="C38" s="8">
        <v>-4.0217391304347796</v>
      </c>
      <c r="D38" s="4">
        <f t="shared" si="0"/>
        <v>-1.6086956521739117E-3</v>
      </c>
    </row>
    <row r="39" spans="1:5" x14ac:dyDescent="0.25">
      <c r="A39" s="4" t="s">
        <v>63</v>
      </c>
      <c r="B39" s="4">
        <v>0.04</v>
      </c>
      <c r="C39" s="8">
        <v>-1.6899338721528201</v>
      </c>
      <c r="D39" s="4">
        <f t="shared" si="0"/>
        <v>-6.7597354886112806E-4</v>
      </c>
    </row>
    <row r="40" spans="1:5" x14ac:dyDescent="0.25">
      <c r="A40" s="4" t="s">
        <v>35</v>
      </c>
      <c r="B40" s="4">
        <v>0.3</v>
      </c>
      <c r="C40" s="8">
        <v>0.29568302779420402</v>
      </c>
      <c r="D40" s="4">
        <f t="shared" si="0"/>
        <v>8.8704908338261212E-4</v>
      </c>
    </row>
    <row r="41" spans="1:5" x14ac:dyDescent="0.25">
      <c r="A41" s="4" t="s">
        <v>41</v>
      </c>
      <c r="B41" s="4">
        <v>8.33</v>
      </c>
      <c r="C41" s="4">
        <v>-8.61</v>
      </c>
      <c r="D41" s="4">
        <f t="shared" si="0"/>
        <v>-0.71721299999999999</v>
      </c>
    </row>
    <row r="42" spans="1:5" x14ac:dyDescent="0.25">
      <c r="A42" s="4" t="s">
        <v>42</v>
      </c>
      <c r="B42" s="4">
        <v>8.27</v>
      </c>
      <c r="C42" s="4">
        <v>-6.98</v>
      </c>
      <c r="D42" s="4">
        <f t="shared" si="0"/>
        <v>-0.57724600000000004</v>
      </c>
    </row>
    <row r="43" spans="1:5" x14ac:dyDescent="0.25">
      <c r="A43" s="4" t="s">
        <v>57</v>
      </c>
      <c r="B43" s="4">
        <v>2.56</v>
      </c>
      <c r="C43" s="4">
        <v>0.38</v>
      </c>
      <c r="D43" s="4">
        <f t="shared" si="0"/>
        <v>9.7280000000000005E-3</v>
      </c>
    </row>
    <row r="44" spans="1:5" x14ac:dyDescent="0.25">
      <c r="A44" s="12" t="s">
        <v>64</v>
      </c>
      <c r="B44" s="5">
        <f>SUM(B2:B43)</f>
        <v>98.450000000000045</v>
      </c>
      <c r="D44" s="6">
        <f>SUM(D2:D43)</f>
        <v>-0.5065923644858209</v>
      </c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5"/>
      <c r="B49" s="25"/>
      <c r="C49" s="4"/>
      <c r="D49" s="4"/>
      <c r="E49" s="17"/>
    </row>
    <row r="50" spans="1:6" x14ac:dyDescent="0.25">
      <c r="A50" s="25"/>
      <c r="B50" s="25"/>
      <c r="C50" s="9"/>
      <c r="D50" s="9"/>
    </row>
    <row r="55" spans="1:6" x14ac:dyDescent="0.25">
      <c r="A55" s="5" t="s">
        <v>75</v>
      </c>
      <c r="B55" s="26" t="s">
        <v>53</v>
      </c>
      <c r="C55" s="26"/>
      <c r="D55" s="20" t="s">
        <v>54</v>
      </c>
      <c r="E55" s="5" t="s">
        <v>68</v>
      </c>
      <c r="F55" s="5" t="s">
        <v>76</v>
      </c>
    </row>
    <row r="56" spans="1:6" x14ac:dyDescent="0.25">
      <c r="A56" s="18">
        <v>46226</v>
      </c>
      <c r="B56" s="25">
        <v>160454</v>
      </c>
      <c r="C56" s="25"/>
      <c r="D56" s="21">
        <v>74464707242</v>
      </c>
      <c r="E56" s="21">
        <v>-1765745461</v>
      </c>
      <c r="F56" s="28">
        <v>1.15E-2</v>
      </c>
    </row>
    <row r="57" spans="1:6" x14ac:dyDescent="0.25">
      <c r="A57" s="18">
        <v>46227</v>
      </c>
      <c r="B57" s="25">
        <v>159246</v>
      </c>
      <c r="C57" s="25"/>
      <c r="D57" s="21">
        <v>74038207243</v>
      </c>
      <c r="E57" s="21">
        <v>-535063133</v>
      </c>
      <c r="F57" s="28">
        <v>1.5E-3</v>
      </c>
    </row>
    <row r="58" spans="1:6" x14ac:dyDescent="0.25">
      <c r="A58" s="18">
        <v>46230</v>
      </c>
      <c r="B58" s="25">
        <v>159672</v>
      </c>
      <c r="C58" s="25"/>
      <c r="D58" s="21">
        <v>74765554505</v>
      </c>
      <c r="E58" s="21">
        <v>831945602</v>
      </c>
      <c r="F58" s="28">
        <v>-1.4E-3</v>
      </c>
    </row>
    <row r="59" spans="1:6" x14ac:dyDescent="0.25">
      <c r="D59" s="24"/>
      <c r="E59" s="24"/>
    </row>
    <row r="60" spans="1:6" x14ac:dyDescent="0.25">
      <c r="D60" s="24"/>
      <c r="E60" s="24"/>
    </row>
    <row r="61" spans="1:6" x14ac:dyDescent="0.25">
      <c r="D61" s="24"/>
      <c r="E61" s="24"/>
    </row>
    <row r="62" spans="1:6" x14ac:dyDescent="0.25">
      <c r="D62" s="24"/>
      <c r="E62" s="24"/>
    </row>
    <row r="63" spans="1:6" x14ac:dyDescent="0.25">
      <c r="D63" s="24"/>
      <c r="E63" s="24"/>
    </row>
    <row r="64" spans="1:6" x14ac:dyDescent="0.25">
      <c r="D64" s="24"/>
      <c r="E64" s="24"/>
    </row>
    <row r="65" spans="4:5" x14ac:dyDescent="0.25">
      <c r="D65" s="24"/>
      <c r="E65" s="24"/>
    </row>
  </sheetData>
  <mergeCells count="6"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63"/>
  <sheetViews>
    <sheetView topLeftCell="A16" workbookViewId="0">
      <selection activeCell="F53" sqref="F53:F56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55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5.56680161943319</v>
      </c>
      <c r="D2" s="4">
        <f>B2*C2/100</f>
        <v>0.53719635627530282</v>
      </c>
    </row>
    <row r="3" spans="1:4" x14ac:dyDescent="0.25">
      <c r="A3" s="4" t="s">
        <v>13</v>
      </c>
      <c r="B3" s="4">
        <v>9.2899999999999991</v>
      </c>
      <c r="C3" s="8">
        <v>0.58064516129032195</v>
      </c>
      <c r="D3" s="4">
        <f t="shared" ref="D3:D36" si="0">B3*C3/100</f>
        <v>5.3941935483870912E-2</v>
      </c>
    </row>
    <row r="4" spans="1:4" x14ac:dyDescent="0.25">
      <c r="A4" s="4" t="s">
        <v>12</v>
      </c>
      <c r="B4" s="4">
        <v>9.24</v>
      </c>
      <c r="C4" s="8">
        <v>4.7808764940239001</v>
      </c>
      <c r="D4" s="4">
        <f t="shared" si="0"/>
        <v>0.44175298804780838</v>
      </c>
    </row>
    <row r="5" spans="1:4" x14ac:dyDescent="0.25">
      <c r="A5" s="4" t="s">
        <v>56</v>
      </c>
      <c r="B5" s="4">
        <v>6.09</v>
      </c>
      <c r="C5" s="8">
        <v>-4.1044776119402897</v>
      </c>
      <c r="D5" s="4">
        <f t="shared" si="0"/>
        <v>-0.24996268656716364</v>
      </c>
    </row>
    <row r="6" spans="1:4" x14ac:dyDescent="0.25">
      <c r="A6" s="4" t="s">
        <v>9</v>
      </c>
      <c r="B6" s="4">
        <v>4.7300000000000004</v>
      </c>
      <c r="C6" s="8">
        <v>3.0042918454935599</v>
      </c>
      <c r="D6" s="4">
        <f t="shared" si="0"/>
        <v>0.14210300429184539</v>
      </c>
    </row>
    <row r="7" spans="1:4" x14ac:dyDescent="0.25">
      <c r="A7" s="4" t="s">
        <v>15</v>
      </c>
      <c r="B7" s="4">
        <v>4.5199999999999996</v>
      </c>
      <c r="C7" s="8">
        <v>4.6207497820401002</v>
      </c>
      <c r="D7" s="4">
        <f t="shared" si="0"/>
        <v>0.20885789014821252</v>
      </c>
    </row>
    <row r="8" spans="1:4" x14ac:dyDescent="0.25">
      <c r="A8" s="4" t="s">
        <v>18</v>
      </c>
      <c r="B8" s="4">
        <v>3.4</v>
      </c>
      <c r="C8" s="8">
        <v>-1.75081433224755</v>
      </c>
      <c r="D8" s="4">
        <f t="shared" si="0"/>
        <v>-5.9527687296416693E-2</v>
      </c>
    </row>
    <row r="9" spans="1:4" x14ac:dyDescent="0.25">
      <c r="A9" s="4" t="s">
        <v>16</v>
      </c>
      <c r="B9" s="4">
        <v>2.73</v>
      </c>
      <c r="C9" s="8">
        <v>1.92307692307692</v>
      </c>
      <c r="D9" s="4">
        <f t="shared" si="0"/>
        <v>5.2499999999999922E-2</v>
      </c>
    </row>
    <row r="10" spans="1:4" x14ac:dyDescent="0.25">
      <c r="A10" s="4" t="s">
        <v>6</v>
      </c>
      <c r="B10" s="4">
        <v>2.2999999999999998</v>
      </c>
      <c r="C10" s="8">
        <v>-10</v>
      </c>
      <c r="D10" s="4">
        <f t="shared" si="0"/>
        <v>-0.23</v>
      </c>
    </row>
    <row r="11" spans="1:4" x14ac:dyDescent="0.25">
      <c r="A11" s="4" t="s">
        <v>21</v>
      </c>
      <c r="B11" s="4">
        <v>1.67</v>
      </c>
      <c r="C11" s="8">
        <v>-1.3500482160077101</v>
      </c>
      <c r="D11" s="4">
        <f t="shared" si="0"/>
        <v>-2.2545805207328757E-2</v>
      </c>
    </row>
    <row r="12" spans="1:4" x14ac:dyDescent="0.25">
      <c r="A12" s="4" t="s">
        <v>17</v>
      </c>
      <c r="B12" s="4">
        <v>1.58</v>
      </c>
      <c r="C12" s="8">
        <v>-4.1920731707316996</v>
      </c>
      <c r="D12" s="4">
        <f t="shared" si="0"/>
        <v>-6.6234756097560854E-2</v>
      </c>
    </row>
    <row r="13" spans="1:4" x14ac:dyDescent="0.25">
      <c r="A13" s="4" t="s">
        <v>0</v>
      </c>
      <c r="B13" s="4">
        <v>1.57</v>
      </c>
      <c r="C13" s="8">
        <v>-2.734375</v>
      </c>
      <c r="D13" s="4">
        <f t="shared" si="0"/>
        <v>-4.2929687500000001E-2</v>
      </c>
    </row>
    <row r="14" spans="1:4" x14ac:dyDescent="0.25">
      <c r="A14" s="4" t="s">
        <v>19</v>
      </c>
      <c r="B14" s="4">
        <v>1.1299999999999999</v>
      </c>
      <c r="C14" s="8">
        <v>-1.70118343195266</v>
      </c>
      <c r="D14" s="4">
        <f t="shared" si="0"/>
        <v>-1.9223372781065055E-2</v>
      </c>
    </row>
    <row r="15" spans="1:4" x14ac:dyDescent="0.25">
      <c r="A15" s="4" t="s">
        <v>20</v>
      </c>
      <c r="B15" s="4">
        <v>1.03</v>
      </c>
      <c r="C15" s="8">
        <v>-1.378896882494</v>
      </c>
      <c r="D15" s="4">
        <f t="shared" si="0"/>
        <v>-1.42026378896882E-2</v>
      </c>
    </row>
    <row r="16" spans="1:4" x14ac:dyDescent="0.25">
      <c r="A16" s="4" t="s">
        <v>22</v>
      </c>
      <c r="B16" s="4">
        <v>0.98</v>
      </c>
      <c r="C16" s="8">
        <v>0.32102728731942198</v>
      </c>
      <c r="D16" s="4">
        <f t="shared" si="0"/>
        <v>3.1460674157303354E-3</v>
      </c>
    </row>
    <row r="17" spans="1:4" x14ac:dyDescent="0.25">
      <c r="A17" s="4" t="s">
        <v>36</v>
      </c>
      <c r="B17" s="4">
        <v>0.87</v>
      </c>
      <c r="C17" s="8">
        <v>-9.9489795918367303</v>
      </c>
      <c r="D17" s="4">
        <f t="shared" si="0"/>
        <v>-8.6556122448979561E-2</v>
      </c>
    </row>
    <row r="18" spans="1:4" x14ac:dyDescent="0.25">
      <c r="A18" s="4" t="s">
        <v>27</v>
      </c>
      <c r="B18" s="4">
        <v>0.59</v>
      </c>
      <c r="C18" s="8">
        <v>1.26050420168067</v>
      </c>
      <c r="D18" s="4">
        <f t="shared" si="0"/>
        <v>7.4369747899159519E-3</v>
      </c>
    </row>
    <row r="19" spans="1:4" x14ac:dyDescent="0.25">
      <c r="A19" s="4" t="s">
        <v>61</v>
      </c>
      <c r="B19" s="4">
        <v>0.5</v>
      </c>
      <c r="C19" s="8">
        <v>-4.6210720887245801E-2</v>
      </c>
      <c r="D19" s="4">
        <f t="shared" si="0"/>
        <v>-2.3105360443622901E-4</v>
      </c>
    </row>
    <row r="20" spans="1:4" x14ac:dyDescent="0.25">
      <c r="A20" s="4" t="s">
        <v>39</v>
      </c>
      <c r="B20" s="4">
        <v>0.48</v>
      </c>
      <c r="C20" s="8">
        <v>-1.5775635407537201</v>
      </c>
      <c r="D20" s="4">
        <f t="shared" si="0"/>
        <v>-7.5723049956178557E-3</v>
      </c>
    </row>
    <row r="21" spans="1:4" x14ac:dyDescent="0.25">
      <c r="A21" s="4" t="s">
        <v>28</v>
      </c>
      <c r="B21" s="4">
        <v>0.42</v>
      </c>
      <c r="C21" s="8">
        <v>-2.31481481481481</v>
      </c>
      <c r="D21" s="4">
        <f t="shared" si="0"/>
        <v>-9.7222222222222016E-3</v>
      </c>
    </row>
    <row r="22" spans="1:4" x14ac:dyDescent="0.25">
      <c r="A22" s="4" t="s">
        <v>37</v>
      </c>
      <c r="B22" s="4">
        <v>0.4</v>
      </c>
      <c r="C22" s="8">
        <v>-1.1808576755748901</v>
      </c>
      <c r="D22" s="4">
        <f t="shared" si="0"/>
        <v>-4.7234307022995603E-3</v>
      </c>
    </row>
    <row r="23" spans="1:4" x14ac:dyDescent="0.25">
      <c r="A23" s="4" t="s">
        <v>33</v>
      </c>
      <c r="B23" s="4">
        <v>0.38</v>
      </c>
      <c r="C23" s="8">
        <v>0</v>
      </c>
      <c r="D23" s="4">
        <f t="shared" si="0"/>
        <v>0</v>
      </c>
    </row>
    <row r="24" spans="1:4" x14ac:dyDescent="0.25">
      <c r="A24" s="4" t="s">
        <v>2</v>
      </c>
      <c r="B24" s="4">
        <v>0.25</v>
      </c>
      <c r="C24" s="8">
        <v>0.36496350364963498</v>
      </c>
      <c r="D24" s="4">
        <f t="shared" si="0"/>
        <v>9.1240875912408745E-4</v>
      </c>
    </row>
    <row r="25" spans="1:4" x14ac:dyDescent="0.25">
      <c r="A25" s="4" t="s">
        <v>38</v>
      </c>
      <c r="B25" s="4">
        <v>0.25</v>
      </c>
      <c r="C25" s="8">
        <v>0.69625761531766694</v>
      </c>
      <c r="D25" s="4">
        <f t="shared" si="0"/>
        <v>1.7406440382941673E-3</v>
      </c>
    </row>
    <row r="26" spans="1:4" x14ac:dyDescent="0.25">
      <c r="A26" s="4" t="s">
        <v>34</v>
      </c>
      <c r="B26" s="4">
        <v>0.24</v>
      </c>
      <c r="C26" s="8">
        <v>1.6380655226209</v>
      </c>
      <c r="D26" s="4">
        <f t="shared" si="0"/>
        <v>3.93135725429016E-3</v>
      </c>
    </row>
    <row r="27" spans="1:4" x14ac:dyDescent="0.25">
      <c r="A27" s="4" t="s">
        <v>3</v>
      </c>
      <c r="B27" s="4">
        <v>0.23</v>
      </c>
      <c r="C27" s="8">
        <v>0</v>
      </c>
      <c r="D27" s="4">
        <f t="shared" si="0"/>
        <v>0</v>
      </c>
    </row>
    <row r="28" spans="1:4" x14ac:dyDescent="0.25">
      <c r="A28" s="4" t="s">
        <v>40</v>
      </c>
      <c r="B28" s="4">
        <v>0.2</v>
      </c>
      <c r="C28" s="8">
        <v>1.71385991058122</v>
      </c>
      <c r="D28" s="4">
        <f t="shared" si="0"/>
        <v>3.4277198211624406E-3</v>
      </c>
    </row>
    <row r="29" spans="1:4" x14ac:dyDescent="0.25">
      <c r="A29" s="4" t="s">
        <v>62</v>
      </c>
      <c r="B29" s="13">
        <v>0.08</v>
      </c>
      <c r="C29" s="15">
        <v>-4.0217391304347796</v>
      </c>
      <c r="D29" s="4">
        <f t="shared" si="0"/>
        <v>-3.2173913043478234E-3</v>
      </c>
    </row>
    <row r="30" spans="1:4" x14ac:dyDescent="0.25">
      <c r="A30" s="4" t="s">
        <v>60</v>
      </c>
      <c r="B30" s="4">
        <v>0.01</v>
      </c>
      <c r="C30" s="8">
        <v>-4.6875</v>
      </c>
      <c r="D30" s="4">
        <f t="shared" si="0"/>
        <v>-4.6874999999999998E-4</v>
      </c>
    </row>
    <row r="31" spans="1:4" x14ac:dyDescent="0.25">
      <c r="A31" s="4" t="s">
        <v>41</v>
      </c>
      <c r="B31" s="4">
        <v>7.99</v>
      </c>
      <c r="C31" s="4">
        <v>-8.61</v>
      </c>
      <c r="D31" s="4">
        <f t="shared" si="0"/>
        <v>-0.68793899999999997</v>
      </c>
    </row>
    <row r="32" spans="1:4" x14ac:dyDescent="0.25">
      <c r="A32" s="4" t="s">
        <v>42</v>
      </c>
      <c r="B32" s="4">
        <v>7.7</v>
      </c>
      <c r="C32" s="4">
        <v>-6.98</v>
      </c>
      <c r="D32" s="4">
        <f t="shared" si="0"/>
        <v>-0.53746000000000005</v>
      </c>
    </row>
    <row r="33" spans="1:5" x14ac:dyDescent="0.25">
      <c r="A33" s="4" t="s">
        <v>57</v>
      </c>
      <c r="B33" s="4">
        <v>2.5</v>
      </c>
      <c r="C33" s="4">
        <v>0.38</v>
      </c>
      <c r="D33" s="4">
        <f t="shared" si="0"/>
        <v>9.4999999999999998E-3</v>
      </c>
    </row>
    <row r="34" spans="1:5" x14ac:dyDescent="0.25">
      <c r="A34" s="4" t="s">
        <v>65</v>
      </c>
      <c r="B34" s="4">
        <v>0.78</v>
      </c>
      <c r="C34" s="4">
        <v>0.38</v>
      </c>
      <c r="D34" s="4">
        <f t="shared" si="0"/>
        <v>2.9640000000000001E-3</v>
      </c>
    </row>
    <row r="35" spans="1:5" x14ac:dyDescent="0.25">
      <c r="A35" s="4" t="s">
        <v>66</v>
      </c>
      <c r="B35" s="4">
        <v>0.57999999999999996</v>
      </c>
      <c r="C35" s="4">
        <v>-2.0099999999999998</v>
      </c>
      <c r="D35" s="4">
        <f t="shared" si="0"/>
        <v>-1.1657999999999996E-2</v>
      </c>
    </row>
    <row r="36" spans="1:5" x14ac:dyDescent="0.25">
      <c r="A36" s="4" t="s">
        <v>67</v>
      </c>
      <c r="B36" s="4">
        <v>0.06</v>
      </c>
      <c r="C36" s="4">
        <v>-0.48</v>
      </c>
      <c r="D36" s="4">
        <f t="shared" si="0"/>
        <v>-2.8800000000000001E-4</v>
      </c>
    </row>
    <row r="37" spans="1:5" x14ac:dyDescent="0.25">
      <c r="A37" s="12" t="s">
        <v>64</v>
      </c>
      <c r="B37" s="5">
        <f>SUM(B2:B36)</f>
        <v>84.419999999999987</v>
      </c>
      <c r="D37" s="6">
        <f>SUM(D2:D36)</f>
        <v>-0.58505156229156896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5"/>
      <c r="B44" s="25"/>
      <c r="C44" s="4"/>
      <c r="D44" s="4"/>
      <c r="E44" s="17"/>
    </row>
    <row r="45" spans="1:5" x14ac:dyDescent="0.25">
      <c r="A45" s="25"/>
      <c r="B45" s="25"/>
      <c r="C45" s="9"/>
      <c r="D45" s="9"/>
    </row>
    <row r="53" spans="1:6" x14ac:dyDescent="0.25">
      <c r="A53" s="5" t="s">
        <v>75</v>
      </c>
      <c r="B53" s="26" t="s">
        <v>53</v>
      </c>
      <c r="C53" s="26"/>
      <c r="D53" s="20" t="s">
        <v>54</v>
      </c>
      <c r="E53" s="5" t="s">
        <v>68</v>
      </c>
      <c r="F53" s="5" t="s">
        <v>76</v>
      </c>
    </row>
    <row r="54" spans="1:6" x14ac:dyDescent="0.25">
      <c r="A54" s="18">
        <v>46226</v>
      </c>
      <c r="B54" s="25">
        <v>78223</v>
      </c>
      <c r="C54" s="25"/>
      <c r="D54" s="21">
        <v>38343912280</v>
      </c>
      <c r="E54" s="22">
        <v>-656504519</v>
      </c>
      <c r="F54" s="28">
        <v>8.0999999999999996E-3</v>
      </c>
    </row>
    <row r="55" spans="1:6" x14ac:dyDescent="0.25">
      <c r="A55" s="18">
        <v>46227</v>
      </c>
      <c r="B55" s="25">
        <v>78055</v>
      </c>
      <c r="C55" s="25"/>
      <c r="D55" s="21">
        <v>38547597437</v>
      </c>
      <c r="E55" s="22">
        <v>45631782</v>
      </c>
      <c r="F55" s="28">
        <v>4.1000000000000003E-3</v>
      </c>
    </row>
    <row r="56" spans="1:6" x14ac:dyDescent="0.25">
      <c r="A56" s="18">
        <v>46230</v>
      </c>
      <c r="B56" s="25">
        <v>78840</v>
      </c>
      <c r="C56" s="25"/>
      <c r="D56" s="21">
        <v>39148877217</v>
      </c>
      <c r="E56" s="22">
        <v>706423581</v>
      </c>
      <c r="F56" s="28">
        <v>-2.7000000000000001E-3</v>
      </c>
    </row>
    <row r="57" spans="1:6" x14ac:dyDescent="0.25">
      <c r="D57" s="24"/>
      <c r="E57" s="24"/>
    </row>
    <row r="58" spans="1:6" x14ac:dyDescent="0.25">
      <c r="D58" s="24"/>
      <c r="E58" s="24"/>
    </row>
    <row r="59" spans="1:6" x14ac:dyDescent="0.25">
      <c r="D59" s="24"/>
      <c r="E59" s="24"/>
    </row>
    <row r="60" spans="1:6" x14ac:dyDescent="0.25">
      <c r="D60" s="24"/>
      <c r="E60" s="24"/>
    </row>
    <row r="61" spans="1:6" x14ac:dyDescent="0.25">
      <c r="D61" s="24"/>
      <c r="E61" s="24"/>
    </row>
    <row r="62" spans="1:6" x14ac:dyDescent="0.25">
      <c r="D62" s="24"/>
      <c r="E62" s="24"/>
    </row>
    <row r="63" spans="1:6" x14ac:dyDescent="0.25">
      <c r="D63" s="24"/>
      <c r="E63" s="24"/>
    </row>
  </sheetData>
  <mergeCells count="6">
    <mergeCell ref="B56:C56"/>
    <mergeCell ref="B55:C55"/>
    <mergeCell ref="A44:B44"/>
    <mergeCell ref="A45:B45"/>
    <mergeCell ref="B53:C53"/>
    <mergeCell ref="B54:C54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46"/>
  <sheetViews>
    <sheetView workbookViewId="0">
      <selection activeCell="F31" sqref="F31:F34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-0.48721071863581</v>
      </c>
      <c r="D2" s="4">
        <f>B2*C2/100</f>
        <v>-0.25700365408038978</v>
      </c>
    </row>
    <row r="3" spans="1:5" x14ac:dyDescent="0.25">
      <c r="A3" s="4" t="s">
        <v>45</v>
      </c>
      <c r="B3" s="4">
        <v>11.12</v>
      </c>
      <c r="C3" s="8">
        <v>-3.4764826175869099</v>
      </c>
      <c r="D3" s="4">
        <f t="shared" ref="D3:D5" si="0">B3*C3/100</f>
        <v>-0.38658486707566431</v>
      </c>
    </row>
    <row r="4" spans="1:5" x14ac:dyDescent="0.25">
      <c r="A4" s="4" t="s">
        <v>46</v>
      </c>
      <c r="B4" s="4">
        <v>0.53</v>
      </c>
      <c r="C4" s="8">
        <v>-4.7012732615083204</v>
      </c>
      <c r="D4" s="4">
        <f t="shared" si="0"/>
        <v>-2.4916748285994102E-2</v>
      </c>
    </row>
    <row r="5" spans="1:5" x14ac:dyDescent="0.25">
      <c r="A5" s="4" t="s">
        <v>47</v>
      </c>
      <c r="B5" s="4">
        <v>29.82</v>
      </c>
      <c r="C5" s="4">
        <v>2.09</v>
      </c>
      <c r="D5" s="4">
        <f t="shared" si="0"/>
        <v>0.62323799999999996</v>
      </c>
    </row>
    <row r="6" spans="1:5" x14ac:dyDescent="0.25">
      <c r="A6" s="12" t="s">
        <v>64</v>
      </c>
      <c r="B6" s="5">
        <f>B2++B3+B4+B5</f>
        <v>94.22</v>
      </c>
      <c r="C6" s="4"/>
      <c r="D6" s="6">
        <f>D2+D3+D4+D5</f>
        <v>-4.5267269442048286E-2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5"/>
      <c r="B10" s="25"/>
      <c r="C10" s="4"/>
      <c r="D10" s="4"/>
      <c r="E10" s="17"/>
    </row>
    <row r="11" spans="1:5" x14ac:dyDescent="0.25">
      <c r="A11" s="25"/>
      <c r="B11" s="25"/>
      <c r="C11" s="10"/>
      <c r="D11" s="10"/>
    </row>
    <row r="31" spans="1:6" x14ac:dyDescent="0.25">
      <c r="A31" s="5" t="s">
        <v>75</v>
      </c>
      <c r="B31" s="26" t="s">
        <v>53</v>
      </c>
      <c r="C31" s="26"/>
      <c r="D31" s="20" t="s">
        <v>54</v>
      </c>
      <c r="E31" s="5" t="s">
        <v>68</v>
      </c>
      <c r="F31" s="5" t="s">
        <v>76</v>
      </c>
    </row>
    <row r="32" spans="1:6" x14ac:dyDescent="0.25">
      <c r="A32" s="23">
        <v>46226</v>
      </c>
      <c r="B32" s="25">
        <v>48221</v>
      </c>
      <c r="C32" s="25"/>
      <c r="D32" s="21">
        <v>28591206600</v>
      </c>
      <c r="E32" s="21">
        <v>578476685</v>
      </c>
      <c r="F32" s="28">
        <v>3.3999999999999998E-3</v>
      </c>
    </row>
    <row r="33" spans="1:6" x14ac:dyDescent="0.25">
      <c r="A33" s="23">
        <v>46227</v>
      </c>
      <c r="B33" s="25">
        <v>48802</v>
      </c>
      <c r="C33" s="25"/>
      <c r="D33" s="21">
        <v>29255953804</v>
      </c>
      <c r="E33" s="21">
        <v>630289948</v>
      </c>
      <c r="F33" s="28">
        <v>1.1999999999999999E-3</v>
      </c>
    </row>
    <row r="34" spans="1:6" x14ac:dyDescent="0.25">
      <c r="A34" s="23">
        <v>46230</v>
      </c>
      <c r="B34" s="25">
        <v>49403</v>
      </c>
      <c r="C34" s="25"/>
      <c r="D34" s="21">
        <v>30359209400</v>
      </c>
      <c r="E34" s="21">
        <v>781254453</v>
      </c>
      <c r="F34" s="28">
        <v>1.0999999999999999E-2</v>
      </c>
    </row>
    <row r="35" spans="1:6" x14ac:dyDescent="0.25">
      <c r="D35" s="24"/>
      <c r="E35" s="24"/>
    </row>
    <row r="36" spans="1:6" x14ac:dyDescent="0.25">
      <c r="D36" s="24"/>
      <c r="E36" s="24"/>
    </row>
    <row r="37" spans="1:6" x14ac:dyDescent="0.25">
      <c r="D37" s="24"/>
      <c r="E37" s="24"/>
    </row>
    <row r="38" spans="1:6" x14ac:dyDescent="0.25">
      <c r="D38" s="24"/>
      <c r="E38" s="24"/>
    </row>
    <row r="39" spans="1:6" x14ac:dyDescent="0.25">
      <c r="D39" s="24"/>
      <c r="E39" s="24"/>
    </row>
    <row r="40" spans="1:6" x14ac:dyDescent="0.25">
      <c r="D40" s="24"/>
      <c r="E40" s="24"/>
    </row>
    <row r="41" spans="1:6" x14ac:dyDescent="0.25">
      <c r="D41" s="24"/>
      <c r="E41" s="24"/>
    </row>
    <row r="42" spans="1:6" x14ac:dyDescent="0.25">
      <c r="D42" s="24"/>
      <c r="E42" s="24"/>
    </row>
    <row r="43" spans="1:6" x14ac:dyDescent="0.25">
      <c r="E43" s="24"/>
    </row>
    <row r="44" spans="1:6" x14ac:dyDescent="0.25">
      <c r="E44" s="24"/>
    </row>
    <row r="45" spans="1:6" x14ac:dyDescent="0.25">
      <c r="E45" s="24"/>
    </row>
    <row r="46" spans="1:6" x14ac:dyDescent="0.25">
      <c r="E46" s="24"/>
    </row>
  </sheetData>
  <mergeCells count="6">
    <mergeCell ref="B34:C34"/>
    <mergeCell ref="B33:C33"/>
    <mergeCell ref="A10:B10"/>
    <mergeCell ref="A11:B11"/>
    <mergeCell ref="B31:C31"/>
    <mergeCell ref="B32:C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49F2-A66C-43F1-8B7E-B9FC6B9E004D}">
  <dimension ref="A1:F55"/>
  <sheetViews>
    <sheetView workbookViewId="0">
      <selection activeCell="F37" sqref="F37:F40"/>
    </sheetView>
  </sheetViews>
  <sheetFormatPr defaultRowHeight="15" x14ac:dyDescent="0.25"/>
  <cols>
    <col min="1" max="1" width="11" customWidth="1"/>
    <col min="2" max="2" width="11.85546875" customWidth="1"/>
    <col min="3" max="3" width="13" customWidth="1"/>
    <col min="4" max="4" width="21.140625" customWidth="1"/>
    <col min="5" max="5" width="17.140625" customWidth="1"/>
    <col min="6" max="6" width="16.140625" customWidth="1"/>
  </cols>
  <sheetData>
    <row r="1" spans="1:6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6" x14ac:dyDescent="0.25">
      <c r="A2" t="s">
        <v>69</v>
      </c>
      <c r="B2" s="4">
        <v>42.54</v>
      </c>
      <c r="C2" s="3">
        <v>-1.8181818181818099</v>
      </c>
      <c r="D2" s="7">
        <f>B2*C2/100</f>
        <v>-0.77345454545454184</v>
      </c>
    </row>
    <row r="3" spans="1:6" x14ac:dyDescent="0.25">
      <c r="A3" t="s">
        <v>70</v>
      </c>
      <c r="B3" s="4">
        <v>32.340000000000003</v>
      </c>
      <c r="C3" s="3">
        <v>0.12894906511927701</v>
      </c>
      <c r="D3" s="7">
        <f t="shared" ref="D3:D7" si="0">B3*C3/100</f>
        <v>4.1702127659574185E-2</v>
      </c>
    </row>
    <row r="4" spans="1:6" x14ac:dyDescent="0.25">
      <c r="A4" t="s">
        <v>71</v>
      </c>
      <c r="B4" s="4">
        <v>12.21</v>
      </c>
      <c r="C4" s="3">
        <v>0.12254901960784299</v>
      </c>
      <c r="D4" s="7">
        <f t="shared" si="0"/>
        <v>1.496323529411763E-2</v>
      </c>
    </row>
    <row r="5" spans="1:6" x14ac:dyDescent="0.25">
      <c r="A5" t="s">
        <v>72</v>
      </c>
      <c r="B5" s="4">
        <v>10.92</v>
      </c>
      <c r="C5" s="3">
        <v>-4.2105263157894699</v>
      </c>
      <c r="D5" s="7">
        <f t="shared" si="0"/>
        <v>-0.45978947368421008</v>
      </c>
    </row>
    <row r="6" spans="1:6" x14ac:dyDescent="0.25">
      <c r="A6" t="s">
        <v>73</v>
      </c>
      <c r="B6" s="4">
        <v>5.89</v>
      </c>
      <c r="C6" s="3">
        <v>-0.89005235602094201</v>
      </c>
      <c r="D6" s="7">
        <f t="shared" si="0"/>
        <v>-5.2424083769633478E-2</v>
      </c>
    </row>
    <row r="7" spans="1:6" x14ac:dyDescent="0.25">
      <c r="A7" t="s">
        <v>74</v>
      </c>
      <c r="B7" s="4">
        <v>5.68</v>
      </c>
      <c r="C7" s="3">
        <v>9.9898063200815397</v>
      </c>
      <c r="D7" s="7">
        <f t="shared" si="0"/>
        <v>0.56742099898063147</v>
      </c>
    </row>
    <row r="8" spans="1:6" x14ac:dyDescent="0.25">
      <c r="A8" s="16" t="s">
        <v>64</v>
      </c>
      <c r="B8" s="5">
        <f>B2+B3+B4+B5+B6+B7</f>
        <v>109.58000000000001</v>
      </c>
      <c r="C8" s="5"/>
      <c r="D8" s="6">
        <f>D2+D3+D4+D5+D6+D7</f>
        <v>-0.66158174097406219</v>
      </c>
    </row>
    <row r="9" spans="1:6" x14ac:dyDescent="0.25">
      <c r="B9" s="4"/>
      <c r="C9" s="3"/>
      <c r="D9" s="7"/>
    </row>
    <row r="10" spans="1:6" x14ac:dyDescent="0.25">
      <c r="B10" s="4"/>
      <c r="C10" s="3"/>
      <c r="D10" s="7"/>
    </row>
    <row r="11" spans="1:6" x14ac:dyDescent="0.25">
      <c r="B11" s="4"/>
      <c r="C11" s="5"/>
      <c r="D11" s="7"/>
    </row>
    <row r="12" spans="1:6" x14ac:dyDescent="0.25">
      <c r="C12" s="4"/>
      <c r="D12" s="4"/>
      <c r="E12" s="4"/>
      <c r="F12" s="4"/>
    </row>
    <row r="13" spans="1:6" x14ac:dyDescent="0.25">
      <c r="A13" s="25"/>
      <c r="B13" s="25"/>
      <c r="C13" s="4"/>
      <c r="D13" s="4"/>
      <c r="E13" s="4"/>
      <c r="F13" s="17"/>
    </row>
    <row r="14" spans="1:6" x14ac:dyDescent="0.25">
      <c r="A14" s="25"/>
      <c r="B14" s="25"/>
      <c r="C14" s="9"/>
      <c r="D14" s="9"/>
      <c r="E14" s="17"/>
    </row>
    <row r="15" spans="1:6" x14ac:dyDescent="0.25">
      <c r="A15" s="4"/>
      <c r="B15" s="4"/>
      <c r="C15" s="3"/>
      <c r="D15" s="7"/>
    </row>
    <row r="16" spans="1:6" x14ac:dyDescent="0.25">
      <c r="A16" s="4"/>
      <c r="B16" s="4"/>
      <c r="C16" s="3"/>
      <c r="D16" s="7"/>
    </row>
    <row r="37" spans="1:6" x14ac:dyDescent="0.25">
      <c r="A37" s="5" t="s">
        <v>75</v>
      </c>
      <c r="B37" s="26" t="s">
        <v>53</v>
      </c>
      <c r="C37" s="26"/>
      <c r="D37" s="20" t="s">
        <v>54</v>
      </c>
      <c r="E37" s="5" t="s">
        <v>68</v>
      </c>
      <c r="F37" s="5" t="s">
        <v>76</v>
      </c>
    </row>
    <row r="38" spans="1:6" x14ac:dyDescent="0.25">
      <c r="A38" s="23">
        <v>46226</v>
      </c>
      <c r="B38" s="25">
        <v>6356</v>
      </c>
      <c r="C38" s="25"/>
      <c r="D38" s="21">
        <v>1033181017</v>
      </c>
      <c r="E38" s="21">
        <v>95865997</v>
      </c>
      <c r="F38" s="28">
        <v>5.4000000000000003E-3</v>
      </c>
    </row>
    <row r="39" spans="1:6" x14ac:dyDescent="0.25">
      <c r="A39" s="23">
        <v>46227</v>
      </c>
      <c r="B39" s="25">
        <v>6609</v>
      </c>
      <c r="C39" s="25"/>
      <c r="D39" s="21">
        <v>1076556627</v>
      </c>
      <c r="E39" s="21">
        <v>42490384</v>
      </c>
      <c r="F39" s="28">
        <v>-8.9999999999999998E-4</v>
      </c>
    </row>
    <row r="40" spans="1:6" x14ac:dyDescent="0.25">
      <c r="A40" s="23">
        <v>46230</v>
      </c>
      <c r="B40" s="25">
        <v>6906</v>
      </c>
      <c r="C40" s="25"/>
      <c r="D40" s="21">
        <v>1167160796</v>
      </c>
      <c r="E40" s="21">
        <v>99781628</v>
      </c>
      <c r="F40" s="28">
        <v>-8.5000000000000006E-3</v>
      </c>
    </row>
    <row r="41" spans="1:6" x14ac:dyDescent="0.25">
      <c r="E41" s="24"/>
    </row>
    <row r="42" spans="1:6" x14ac:dyDescent="0.25">
      <c r="E42" s="24"/>
    </row>
    <row r="43" spans="1:6" x14ac:dyDescent="0.25">
      <c r="E43" s="24"/>
    </row>
    <row r="44" spans="1:6" x14ac:dyDescent="0.25">
      <c r="E44" s="24"/>
    </row>
    <row r="45" spans="1:6" x14ac:dyDescent="0.25">
      <c r="E45" s="24"/>
    </row>
    <row r="46" spans="1:6" x14ac:dyDescent="0.25">
      <c r="E46" s="24"/>
    </row>
    <row r="47" spans="1:6" x14ac:dyDescent="0.25">
      <c r="E47" s="24"/>
    </row>
    <row r="48" spans="1:6" x14ac:dyDescent="0.25">
      <c r="E48" s="24"/>
    </row>
    <row r="49" spans="5:5" x14ac:dyDescent="0.25">
      <c r="E49" s="24"/>
    </row>
    <row r="50" spans="5:5" x14ac:dyDescent="0.25">
      <c r="E50" s="24"/>
    </row>
    <row r="51" spans="5:5" x14ac:dyDescent="0.25">
      <c r="E51" s="24"/>
    </row>
    <row r="52" spans="5:5" x14ac:dyDescent="0.25">
      <c r="E52" s="24"/>
    </row>
    <row r="53" spans="5:5" x14ac:dyDescent="0.25">
      <c r="E53" s="24"/>
    </row>
    <row r="54" spans="5:5" x14ac:dyDescent="0.25">
      <c r="E54" s="24"/>
    </row>
    <row r="55" spans="5:5" x14ac:dyDescent="0.25">
      <c r="E55" s="24"/>
    </row>
  </sheetData>
  <mergeCells count="6">
    <mergeCell ref="B40:C40"/>
    <mergeCell ref="A13:B13"/>
    <mergeCell ref="A14:B14"/>
    <mergeCell ref="B37:C37"/>
    <mergeCell ref="B38:C38"/>
    <mergeCell ref="B39:C3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PBR</vt:lpstr>
      <vt:lpstr>DFI</vt:lpstr>
      <vt:lpstr>BMU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2026-07-27T20:27:20Z</dcterms:modified>
</cp:coreProperties>
</file>